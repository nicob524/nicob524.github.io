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000000-0000-0000-0000-000000000000}"/>
  <workbookPr codeName="ThisWorkbook" defaultThemeVersion="124226"/>
  <xr:revisionPtr revIDLastSave="0" documentId="11_89981D0D84A5714E30D60C6C6807971AA42C9AFC" xr6:coauthVersionLast="43" xr6:coauthVersionMax="43" xr10:uidLastSave="{00000000-0000-0000-0000-000000000000}"/>
  <bookViews>
    <workbookView xWindow="0" yWindow="150" windowWidth="19155" windowHeight="8265" firstSheet="3" activeTab="3" xr2:uid="{00000000-000D-0000-FFFF-FFFF00000000}"/>
  </bookViews>
  <sheets>
    <sheet name="Add Run" sheetId="3" r:id="rId1"/>
    <sheet name="Calendar" sheetId="2" r:id="rId2"/>
    <sheet name="Shoes" sheetId="6" r:id="rId3"/>
    <sheet name="Database" sheetId="4" r:id="rId4"/>
    <sheet name="Setup" sheetId="5" r:id="rId5"/>
  </sheets>
  <definedNames>
    <definedName name="SHOES">Shoes!$A$3:$A$8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6" l="1"/>
  <c r="B5" i="6"/>
  <c r="B6" i="6"/>
  <c r="B7" i="6"/>
  <c r="B8" i="6"/>
  <c r="B3" i="6"/>
  <c r="C10" i="3"/>
  <c r="B2" i="2"/>
  <c r="H7" i="2"/>
  <c r="H6" i="2"/>
  <c r="H8" i="2"/>
  <c r="E32" i="2"/>
  <c r="D11" i="2"/>
  <c r="C1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Basil</author>
  </authors>
  <commentList>
    <comment ref="G9" authorId="0" shapeId="0" xr:uid="{00000000-0006-0000-0100-000001000000}">
      <text>
        <r>
          <rPr>
            <b/>
            <sz val="10"/>
            <color indexed="81"/>
            <rFont val="Tahoma"/>
            <family val="2"/>
          </rPr>
          <t>Basil:</t>
        </r>
        <r>
          <rPr>
            <sz val="10"/>
            <color indexed="81"/>
            <rFont val="Tahoma"/>
            <family val="2"/>
          </rPr>
          <t xml:space="preserve">
Home: Bridgeport, 19th, Mildred, 27th, back home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<sst xmlns="http://schemas.openxmlformats.org/spreadsheetml/2006/main" count="69" uniqueCount="64">
  <si>
    <t>Enter Run Data:</t>
  </si>
  <si>
    <t>Feel - Key</t>
  </si>
  <si>
    <t>Date:</t>
  </si>
  <si>
    <t>Easy</t>
  </si>
  <si>
    <t>Easier</t>
  </si>
  <si>
    <t xml:space="preserve">Distance: </t>
  </si>
  <si>
    <t>miles</t>
  </si>
  <si>
    <t>Normal</t>
  </si>
  <si>
    <t>Harder</t>
  </si>
  <si>
    <t xml:space="preserve">Time: </t>
  </si>
  <si>
    <t xml:space="preserve">mins and </t>
  </si>
  <si>
    <t>seconds</t>
  </si>
  <si>
    <t xml:space="preserve">Hard </t>
  </si>
  <si>
    <t>Pace:</t>
  </si>
  <si>
    <t>mins / mile</t>
  </si>
  <si>
    <t>Feel:</t>
  </si>
  <si>
    <t>Notes:</t>
  </si>
  <si>
    <t>Instructions:</t>
  </si>
  <si>
    <t>Shoe:</t>
  </si>
  <si>
    <t>Laucony #2</t>
  </si>
  <si>
    <t>- enter run data here (pace will be calculated automatically)</t>
  </si>
  <si>
    <t>- use the above key to determine how you felt during the run</t>
  </si>
  <si>
    <t>- click "Push to Log!" to move run data to your run database (3rd tab)</t>
  </si>
  <si>
    <t>- click "Reset" to clear the current values from the data entry form</t>
  </si>
  <si>
    <t>&lt;&lt;</t>
  </si>
  <si>
    <t>January 2019</t>
  </si>
  <si>
    <t>&gt;&gt;</t>
  </si>
  <si>
    <t>Sun</t>
  </si>
  <si>
    <t>Mon</t>
  </si>
  <si>
    <t>Tue</t>
  </si>
  <si>
    <t>Wed</t>
  </si>
  <si>
    <t>Thu</t>
  </si>
  <si>
    <t>Fri</t>
  </si>
  <si>
    <t>Sat</t>
  </si>
  <si>
    <t>Totals</t>
  </si>
  <si>
    <t>59.66 miles</t>
  </si>
  <si>
    <t>6.5 miles</t>
  </si>
  <si>
    <t>357 mins</t>
  </si>
  <si>
    <t>35 mins 28 secs</t>
  </si>
  <si>
    <t>6 min/mile</t>
  </si>
  <si>
    <t>7:09 min / mile</t>
  </si>
  <si>
    <t>Monthly Totals</t>
  </si>
  <si>
    <t xml:space="preserve">Time : </t>
  </si>
  <si>
    <t>Distance :</t>
  </si>
  <si>
    <t>Average Pace :</t>
  </si>
  <si>
    <t>Shoes</t>
  </si>
  <si>
    <t>Shoe Label</t>
  </si>
  <si>
    <t>Miles</t>
  </si>
  <si>
    <t>Grooks B6 #1</t>
  </si>
  <si>
    <t>Date</t>
  </si>
  <si>
    <t>Distance (Miles)</t>
  </si>
  <si>
    <t>Minutes</t>
  </si>
  <si>
    <t>Seconds</t>
  </si>
  <si>
    <t>Pace (Min/Mile)</t>
  </si>
  <si>
    <t>Feel</t>
  </si>
  <si>
    <t>Shoe</t>
  </si>
  <si>
    <t>Notes</t>
  </si>
  <si>
    <t>School: 40th Street, along the golf course, to CWA, reverse the same way</t>
  </si>
  <si>
    <t>Home: 76th Street, along the bike path, turn around, same way back</t>
  </si>
  <si>
    <t>Park: 2 loops around the lake</t>
  </si>
  <si>
    <t>School: trails to beach, back</t>
  </si>
  <si>
    <t>Basic Information</t>
  </si>
  <si>
    <t>Name:</t>
  </si>
  <si>
    <t>Nicolas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</si>
</sst>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m]:ss"/>
    <numFmt numFmtId="165" formatCode="[h]:mm"/>
    <numFmt numFmtId="166" formatCode="hh:mm"/>
    <numFmt numFmtId="167" formatCode="[$-F800]dddd\,\ mmmm\ dd\,\ yyyy"/>
  </numFmts>
  <fonts count="19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20"/>
      <color theme="1"/>
      <name val="Segoe UI"/>
      <family val="2"/>
    </font>
    <font>
      <b/>
      <sz val="11"/>
      <color theme="1"/>
      <name val="Segoe UI"/>
      <family val="2"/>
    </font>
    <font>
      <b/>
      <u/>
      <sz val="11"/>
      <color theme="1"/>
      <name val="Segoe UI"/>
      <family val="2"/>
    </font>
    <font>
      <b/>
      <sz val="11"/>
      <color theme="0"/>
      <name val="Segoe UI"/>
      <family val="2"/>
    </font>
    <font>
      <b/>
      <sz val="2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9"/>
      <color indexed="81"/>
      <name val="Tahoma"/>
      <family val="2"/>
    </font>
    <font>
      <b/>
      <sz val="20"/>
      <color theme="0"/>
      <name val="Segoe UI"/>
      <family val="2"/>
    </font>
    <font>
      <b/>
      <sz val="16"/>
      <color theme="0"/>
      <name val="Segoe UI"/>
      <family val="2"/>
    </font>
    <font>
      <i/>
      <u/>
      <sz val="11"/>
      <color theme="1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/>
      <bottom/>
      <diagonal/>
    </border>
    <border>
      <left style="dotted">
        <color theme="0" tint="-0.499984740745262"/>
      </left>
      <right style="dotted">
        <color theme="0" tint="-0.499984740745262"/>
      </right>
      <top/>
      <bottom style="dotted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/>
      <diagonal/>
    </border>
    <border>
      <left/>
      <right style="dotted">
        <color theme="0" tint="-0.499984740745262"/>
      </right>
      <top/>
      <bottom/>
      <diagonal/>
    </border>
    <border>
      <left/>
      <right/>
      <top/>
      <bottom style="dotted">
        <color theme="0" tint="-0.499984740745262"/>
      </bottom>
      <diagonal/>
    </border>
    <border>
      <left/>
      <right style="dotted">
        <color theme="0" tint="-0.499984740745262"/>
      </right>
      <top/>
      <bottom style="dotted">
        <color theme="0" tint="-0.499984740745262"/>
      </bottom>
      <diagonal/>
    </border>
    <border>
      <left/>
      <right style="dotted">
        <color theme="0" tint="-0.499984740745262"/>
      </right>
      <top style="dotted">
        <color theme="0" tint="-0.499984740745262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dotted">
        <color theme="0" tint="-0.499984740745262"/>
      </bottom>
      <diagonal/>
    </border>
    <border>
      <left/>
      <right style="medium">
        <color theme="0" tint="-0.499984740745262"/>
      </right>
      <top/>
      <bottom style="dotted">
        <color theme="0" tint="-0.499984740745262"/>
      </bottom>
      <diagonal/>
    </border>
    <border>
      <left style="medium">
        <color theme="0" tint="-0.499984740745262"/>
      </left>
      <right style="dotted">
        <color theme="0" tint="-0.499984740745262"/>
      </right>
      <top style="dotted">
        <color theme="0" tint="-0.499984740745262"/>
      </top>
      <bottom/>
      <diagonal/>
    </border>
    <border>
      <left style="medium">
        <color theme="0" tint="-0.499984740745262"/>
      </left>
      <right style="dotted">
        <color theme="0" tint="-0.499984740745262"/>
      </right>
      <top/>
      <bottom/>
      <diagonal/>
    </border>
    <border>
      <left style="medium">
        <color theme="0" tint="-0.499984740745262"/>
      </left>
      <right style="dotted">
        <color theme="0" tint="-0.499984740745262"/>
      </right>
      <top/>
      <bottom style="dotted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otted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4">
    <xf numFmtId="0" fontId="0" fillId="0" borderId="0" xfId="0"/>
    <xf numFmtId="0" fontId="1" fillId="0" borderId="0" xfId="0" applyFont="1"/>
    <xf numFmtId="0" fontId="1" fillId="5" borderId="5" xfId="0" applyFont="1" applyFill="1" applyBorder="1"/>
    <xf numFmtId="0" fontId="1" fillId="6" borderId="5" xfId="0" applyFont="1" applyFill="1" applyBorder="1"/>
    <xf numFmtId="0" fontId="1" fillId="4" borderId="5" xfId="0" applyFont="1" applyFill="1" applyBorder="1"/>
    <xf numFmtId="0" fontId="1" fillId="3" borderId="5" xfId="0" applyFont="1" applyFill="1" applyBorder="1"/>
    <xf numFmtId="0" fontId="1" fillId="2" borderId="7" xfId="0" applyFont="1" applyFill="1" applyBorder="1"/>
    <xf numFmtId="0" fontId="1" fillId="7" borderId="4" xfId="0" applyFont="1" applyFill="1" applyBorder="1"/>
    <xf numFmtId="0" fontId="1" fillId="7" borderId="0" xfId="0" applyFont="1" applyFill="1" applyBorder="1"/>
    <xf numFmtId="0" fontId="1" fillId="7" borderId="5" xfId="0" applyFont="1" applyFill="1" applyBorder="1"/>
    <xf numFmtId="0" fontId="3" fillId="7" borderId="4" xfId="0" applyFont="1" applyFill="1" applyBorder="1"/>
    <xf numFmtId="0" fontId="3" fillId="7" borderId="0" xfId="0" applyFont="1" applyFill="1" applyBorder="1"/>
    <xf numFmtId="14" fontId="1" fillId="7" borderId="0" xfId="0" applyNumberFormat="1" applyFont="1" applyFill="1" applyBorder="1"/>
    <xf numFmtId="0" fontId="4" fillId="7" borderId="0" xfId="0" applyFont="1" applyFill="1" applyBorder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166" fontId="1" fillId="7" borderId="0" xfId="0" applyNumberFormat="1" applyFont="1" applyFill="1" applyBorder="1"/>
    <xf numFmtId="164" fontId="1" fillId="7" borderId="5" xfId="0" applyNumberFormat="1" applyFont="1" applyFill="1" applyBorder="1"/>
    <xf numFmtId="0" fontId="3" fillId="7" borderId="4" xfId="0" applyFont="1" applyFill="1" applyBorder="1" applyAlignment="1">
      <alignment vertical="center"/>
    </xf>
    <xf numFmtId="0" fontId="3" fillId="7" borderId="4" xfId="0" applyFont="1" applyFill="1" applyBorder="1" applyAlignment="1">
      <alignment horizontal="left" vertical="center"/>
    </xf>
    <xf numFmtId="0" fontId="1" fillId="7" borderId="6" xfId="0" applyFont="1" applyFill="1" applyBorder="1"/>
    <xf numFmtId="0" fontId="1" fillId="7" borderId="7" xfId="0" applyFont="1" applyFill="1" applyBorder="1"/>
    <xf numFmtId="0" fontId="2" fillId="7" borderId="4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1" fillId="7" borderId="12" xfId="0" applyFont="1" applyFill="1" applyBorder="1"/>
    <xf numFmtId="0" fontId="1" fillId="7" borderId="6" xfId="0" applyFont="1" applyFill="1" applyBorder="1" applyAlignment="1">
      <alignment horizontal="center"/>
    </xf>
    <xf numFmtId="20" fontId="1" fillId="8" borderId="8" xfId="0" applyNumberFormat="1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14" fontId="1" fillId="8" borderId="8" xfId="0" applyNumberFormat="1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 vertical="center"/>
    </xf>
    <xf numFmtId="0" fontId="1" fillId="9" borderId="0" xfId="0" applyFont="1" applyFill="1"/>
    <xf numFmtId="165" fontId="1" fillId="9" borderId="0" xfId="0" applyNumberFormat="1" applyFont="1" applyFill="1"/>
    <xf numFmtId="0" fontId="0" fillId="9" borderId="0" xfId="0" applyFill="1" applyBorder="1"/>
    <xf numFmtId="0" fontId="9" fillId="9" borderId="0" xfId="1" applyFont="1" applyFill="1" applyBorder="1" applyAlignment="1">
      <alignment horizontal="right" vertical="center"/>
    </xf>
    <xf numFmtId="0" fontId="9" fillId="9" borderId="0" xfId="1" applyFont="1" applyFill="1" applyBorder="1" applyAlignment="1">
      <alignment horizontal="left" vertical="center"/>
    </xf>
    <xf numFmtId="0" fontId="11" fillId="4" borderId="0" xfId="0" applyFont="1" applyFill="1" applyBorder="1" applyAlignment="1">
      <alignment horizontal="left" vertical="top"/>
    </xf>
    <xf numFmtId="0" fontId="11" fillId="9" borderId="18" xfId="0" applyFont="1" applyFill="1" applyBorder="1" applyAlignment="1">
      <alignment horizontal="center" vertical="top"/>
    </xf>
    <xf numFmtId="0" fontId="0" fillId="9" borderId="19" xfId="0" applyFill="1" applyBorder="1" applyAlignment="1">
      <alignment horizontal="left" vertical="top"/>
    </xf>
    <xf numFmtId="0" fontId="11" fillId="9" borderId="20" xfId="0" applyFont="1" applyFill="1" applyBorder="1" applyAlignment="1">
      <alignment horizontal="center"/>
    </xf>
    <xf numFmtId="0" fontId="11" fillId="9" borderId="21" xfId="0" applyFont="1" applyFill="1" applyBorder="1" applyAlignment="1">
      <alignment horizontal="center"/>
    </xf>
    <xf numFmtId="0" fontId="11" fillId="9" borderId="22" xfId="0" applyFont="1" applyFill="1" applyBorder="1" applyAlignment="1">
      <alignment horizontal="center"/>
    </xf>
    <xf numFmtId="0" fontId="11" fillId="9" borderId="23" xfId="0" applyFont="1" applyFill="1" applyBorder="1" applyAlignment="1">
      <alignment horizontal="center"/>
    </xf>
    <xf numFmtId="0" fontId="0" fillId="4" borderId="23" xfId="0" applyFont="1" applyFill="1" applyBorder="1" applyAlignment="1"/>
    <xf numFmtId="0" fontId="11" fillId="4" borderId="23" xfId="0" applyFont="1" applyFill="1" applyBorder="1" applyAlignment="1">
      <alignment horizontal="center"/>
    </xf>
    <xf numFmtId="0" fontId="11" fillId="9" borderId="23" xfId="0" applyFont="1" applyFill="1" applyBorder="1" applyAlignment="1">
      <alignment horizontal="left" vertical="top"/>
    </xf>
    <xf numFmtId="0" fontId="0" fillId="9" borderId="23" xfId="0" applyFill="1" applyBorder="1" applyAlignment="1">
      <alignment horizontal="left" vertical="top"/>
    </xf>
    <xf numFmtId="0" fontId="11" fillId="9" borderId="24" xfId="0" applyFont="1" applyFill="1" applyBorder="1" applyAlignment="1">
      <alignment horizontal="center"/>
    </xf>
    <xf numFmtId="0" fontId="0" fillId="9" borderId="25" xfId="0" applyFill="1" applyBorder="1" applyAlignment="1">
      <alignment horizontal="left" vertical="top"/>
    </xf>
    <xf numFmtId="0" fontId="11" fillId="4" borderId="25" xfId="0" applyFont="1" applyFill="1" applyBorder="1" applyAlignment="1">
      <alignment horizontal="center"/>
    </xf>
    <xf numFmtId="46" fontId="12" fillId="3" borderId="23" xfId="0" applyNumberFormat="1" applyFont="1" applyFill="1" applyBorder="1" applyAlignment="1">
      <alignment horizontal="left" vertical="center"/>
    </xf>
    <xf numFmtId="0" fontId="12" fillId="3" borderId="25" xfId="0" applyFont="1" applyFill="1" applyBorder="1" applyAlignment="1">
      <alignment horizontal="left" vertical="center"/>
    </xf>
    <xf numFmtId="0" fontId="11" fillId="4" borderId="23" xfId="0" applyFont="1" applyFill="1" applyBorder="1" applyAlignment="1">
      <alignment horizontal="left" vertical="top"/>
    </xf>
    <xf numFmtId="0" fontId="11" fillId="9" borderId="25" xfId="0" applyFont="1" applyFill="1" applyBorder="1" applyAlignment="1">
      <alignment horizontal="center"/>
    </xf>
    <xf numFmtId="0" fontId="0" fillId="9" borderId="23" xfId="0" applyFill="1" applyBorder="1"/>
    <xf numFmtId="0" fontId="11" fillId="3" borderId="22" xfId="0" applyFont="1" applyFill="1" applyBorder="1" applyAlignment="1">
      <alignment horizontal="left" vertical="top"/>
    </xf>
    <xf numFmtId="0" fontId="12" fillId="3" borderId="20" xfId="0" applyFont="1" applyFill="1" applyBorder="1" applyAlignment="1">
      <alignment horizontal="left" vertical="center"/>
    </xf>
    <xf numFmtId="46" fontId="12" fillId="3" borderId="20" xfId="0" applyNumberFormat="1" applyFont="1" applyFill="1" applyBorder="1" applyAlignment="1">
      <alignment horizontal="left" vertical="center"/>
    </xf>
    <xf numFmtId="0" fontId="12" fillId="4" borderId="0" xfId="0" applyFont="1" applyFill="1" applyBorder="1" applyAlignment="1">
      <alignment horizontal="left" vertical="center"/>
    </xf>
    <xf numFmtId="0" fontId="12" fillId="4" borderId="23" xfId="0" applyFont="1" applyFill="1" applyBorder="1" applyAlignment="1">
      <alignment horizontal="left" vertical="center"/>
    </xf>
    <xf numFmtId="0" fontId="0" fillId="4" borderId="23" xfId="0" applyFill="1" applyBorder="1" applyAlignment="1">
      <alignment horizontal="left" vertical="top"/>
    </xf>
    <xf numFmtId="0" fontId="0" fillId="4" borderId="25" xfId="0" applyFill="1" applyBorder="1" applyAlignment="1">
      <alignment horizontal="left" vertical="top"/>
    </xf>
    <xf numFmtId="0" fontId="11" fillId="9" borderId="26" xfId="0" applyFont="1" applyFill="1" applyBorder="1" applyAlignment="1">
      <alignment horizontal="center"/>
    </xf>
    <xf numFmtId="0" fontId="11" fillId="6" borderId="23" xfId="0" applyFont="1" applyFill="1" applyBorder="1" applyAlignment="1">
      <alignment horizontal="left" vertical="top"/>
    </xf>
    <xf numFmtId="0" fontId="0" fillId="6" borderId="23" xfId="0" applyFill="1" applyBorder="1"/>
    <xf numFmtId="0" fontId="11" fillId="6" borderId="23" xfId="0" applyFont="1" applyFill="1" applyBorder="1" applyAlignment="1">
      <alignment horizontal="center"/>
    </xf>
    <xf numFmtId="0" fontId="11" fillId="6" borderId="25" xfId="0" applyFont="1" applyFill="1" applyBorder="1" applyAlignment="1">
      <alignment horizontal="center"/>
    </xf>
    <xf numFmtId="0" fontId="11" fillId="4" borderId="20" xfId="0" applyFont="1" applyFill="1" applyBorder="1" applyAlignment="1">
      <alignment horizontal="left" vertical="top"/>
    </xf>
    <xf numFmtId="0" fontId="12" fillId="4" borderId="20" xfId="0" applyFont="1" applyFill="1" applyBorder="1" applyAlignment="1">
      <alignment horizontal="left"/>
    </xf>
    <xf numFmtId="0" fontId="11" fillId="4" borderId="20" xfId="0" applyFont="1" applyFill="1" applyBorder="1" applyAlignment="1">
      <alignment horizontal="center"/>
    </xf>
    <xf numFmtId="0" fontId="11" fillId="4" borderId="21" xfId="0" applyFont="1" applyFill="1" applyBorder="1" applyAlignment="1">
      <alignment horizontal="center"/>
    </xf>
    <xf numFmtId="0" fontId="0" fillId="4" borderId="20" xfId="0" applyFill="1" applyBorder="1" applyAlignment="1">
      <alignment horizontal="left" vertical="top"/>
    </xf>
    <xf numFmtId="0" fontId="0" fillId="4" borderId="21" xfId="0" applyFill="1" applyBorder="1" applyAlignment="1">
      <alignment horizontal="left" vertical="top"/>
    </xf>
    <xf numFmtId="0" fontId="11" fillId="9" borderId="20" xfId="0" applyFont="1" applyFill="1" applyBorder="1" applyAlignment="1">
      <alignment horizontal="left" vertical="top"/>
    </xf>
    <xf numFmtId="0" fontId="0" fillId="9" borderId="20" xfId="0" applyFill="1" applyBorder="1"/>
    <xf numFmtId="0" fontId="11" fillId="4" borderId="26" xfId="0" applyFont="1" applyFill="1" applyBorder="1" applyAlignment="1">
      <alignment horizontal="left" vertical="top"/>
    </xf>
    <xf numFmtId="0" fontId="11" fillId="3" borderId="23" xfId="0" applyFont="1" applyFill="1" applyBorder="1" applyAlignment="1">
      <alignment horizontal="left" vertical="top"/>
    </xf>
    <xf numFmtId="0" fontId="0" fillId="3" borderId="23" xfId="0" applyFont="1" applyFill="1" applyBorder="1" applyAlignment="1"/>
    <xf numFmtId="0" fontId="11" fillId="3" borderId="23" xfId="0" applyFont="1" applyFill="1" applyBorder="1" applyAlignment="1">
      <alignment horizontal="center"/>
    </xf>
    <xf numFmtId="0" fontId="11" fillId="3" borderId="25" xfId="0" applyFont="1" applyFill="1" applyBorder="1" applyAlignment="1">
      <alignment horizontal="center"/>
    </xf>
    <xf numFmtId="0" fontId="0" fillId="9" borderId="30" xfId="0" applyFill="1" applyBorder="1"/>
    <xf numFmtId="0" fontId="0" fillId="9" borderId="31" xfId="0" applyFill="1" applyBorder="1"/>
    <xf numFmtId="0" fontId="11" fillId="9" borderId="32" xfId="0" applyFont="1" applyFill="1" applyBorder="1" applyAlignment="1">
      <alignment horizontal="center"/>
    </xf>
    <xf numFmtId="0" fontId="11" fillId="9" borderId="33" xfId="0" applyFont="1" applyFill="1" applyBorder="1" applyAlignment="1">
      <alignment horizontal="center"/>
    </xf>
    <xf numFmtId="0" fontId="11" fillId="9" borderId="34" xfId="0" applyFont="1" applyFill="1" applyBorder="1" applyAlignment="1">
      <alignment horizontal="center"/>
    </xf>
    <xf numFmtId="0" fontId="11" fillId="9" borderId="31" xfId="0" applyFont="1" applyFill="1" applyBorder="1" applyAlignment="1">
      <alignment horizontal="left"/>
    </xf>
    <xf numFmtId="0" fontId="11" fillId="9" borderId="35" xfId="0" applyFont="1" applyFill="1" applyBorder="1" applyAlignment="1">
      <alignment horizontal="center"/>
    </xf>
    <xf numFmtId="0" fontId="11" fillId="9" borderId="31" xfId="0" applyFont="1" applyFill="1" applyBorder="1" applyAlignment="1">
      <alignment horizontal="center"/>
    </xf>
    <xf numFmtId="0" fontId="11" fillId="9" borderId="34" xfId="0" applyFont="1" applyFill="1" applyBorder="1" applyAlignment="1">
      <alignment horizontal="left" vertical="top"/>
    </xf>
    <xf numFmtId="0" fontId="11" fillId="9" borderId="36" xfId="0" applyFont="1" applyFill="1" applyBorder="1" applyAlignment="1">
      <alignment horizontal="center"/>
    </xf>
    <xf numFmtId="0" fontId="11" fillId="9" borderId="35" xfId="0" applyFont="1" applyFill="1" applyBorder="1" applyAlignment="1">
      <alignment horizontal="left" vertical="top"/>
    </xf>
    <xf numFmtId="0" fontId="0" fillId="9" borderId="35" xfId="0" applyFill="1" applyBorder="1" applyAlignment="1">
      <alignment horizontal="left" vertical="top"/>
    </xf>
    <xf numFmtId="0" fontId="0" fillId="9" borderId="36" xfId="0" applyFill="1" applyBorder="1" applyAlignment="1">
      <alignment horizontal="left" vertical="top"/>
    </xf>
    <xf numFmtId="0" fontId="0" fillId="9" borderId="35" xfId="0" applyFill="1" applyBorder="1"/>
    <xf numFmtId="0" fontId="12" fillId="9" borderId="31" xfId="0" applyFont="1" applyFill="1" applyBorder="1" applyAlignment="1">
      <alignment vertical="top" wrapText="1"/>
    </xf>
    <xf numFmtId="0" fontId="11" fillId="9" borderId="30" xfId="0" applyFont="1" applyFill="1" applyBorder="1" applyAlignment="1">
      <alignment vertical="top"/>
    </xf>
    <xf numFmtId="0" fontId="11" fillId="9" borderId="30" xfId="0" applyFont="1" applyFill="1" applyBorder="1" applyAlignment="1">
      <alignment horizontal="center" vertical="top"/>
    </xf>
    <xf numFmtId="0" fontId="0" fillId="0" borderId="0" xfId="0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1" fillId="7" borderId="13" xfId="0" applyFont="1" applyFill="1" applyBorder="1" applyAlignment="1">
      <alignment horizontal="left"/>
    </xf>
    <xf numFmtId="0" fontId="11" fillId="9" borderId="15" xfId="0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0" fillId="9" borderId="0" xfId="0" applyFill="1"/>
    <xf numFmtId="167" fontId="5" fillId="12" borderId="0" xfId="0" applyNumberFormat="1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167" fontId="1" fillId="0" borderId="0" xfId="0" applyNumberFormat="1" applyFont="1"/>
    <xf numFmtId="2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5" fillId="12" borderId="40" xfId="0" applyFont="1" applyFill="1" applyBorder="1" applyAlignment="1">
      <alignment horizontal="center" vertical="center" wrapText="1"/>
    </xf>
    <xf numFmtId="0" fontId="5" fillId="12" borderId="40" xfId="0" applyFont="1" applyFill="1" applyBorder="1" applyAlignment="1">
      <alignment horizontal="center" vertical="center"/>
    </xf>
    <xf numFmtId="20" fontId="5" fillId="12" borderId="41" xfId="0" applyNumberFormat="1" applyFont="1" applyFill="1" applyBorder="1" applyAlignment="1">
      <alignment horizontal="center" vertical="center"/>
    </xf>
    <xf numFmtId="0" fontId="5" fillId="12" borderId="42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left"/>
    </xf>
    <xf numFmtId="0" fontId="1" fillId="11" borderId="4" xfId="0" applyFont="1" applyFill="1" applyBorder="1"/>
    <xf numFmtId="0" fontId="1" fillId="11" borderId="5" xfId="0" applyFont="1" applyFill="1" applyBorder="1"/>
    <xf numFmtId="0" fontId="18" fillId="11" borderId="4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1" borderId="12" xfId="0" applyFont="1" applyFill="1" applyBorder="1"/>
    <xf numFmtId="0" fontId="1" fillId="11" borderId="7" xfId="0" applyFont="1" applyFill="1" applyBorder="1"/>
    <xf numFmtId="0" fontId="1" fillId="15" borderId="5" xfId="0" applyFont="1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4" fillId="15" borderId="5" xfId="0" applyFont="1" applyFill="1" applyBorder="1" applyAlignment="1">
      <alignment horizontal="center"/>
    </xf>
    <xf numFmtId="0" fontId="1" fillId="15" borderId="4" xfId="0" applyFont="1" applyFill="1" applyBorder="1" applyAlignment="1">
      <alignment horizontal="center"/>
    </xf>
    <xf numFmtId="0" fontId="1" fillId="15" borderId="12" xfId="0" applyFont="1" applyFill="1" applyBorder="1" applyAlignment="1">
      <alignment horizontal="center"/>
    </xf>
    <xf numFmtId="0" fontId="1" fillId="15" borderId="7" xfId="0" applyFont="1" applyFill="1" applyBorder="1" applyAlignment="1">
      <alignment horizontal="center"/>
    </xf>
    <xf numFmtId="0" fontId="1" fillId="7" borderId="4" xfId="0" quotePrefix="1" applyFont="1" applyFill="1" applyBorder="1" applyAlignment="1">
      <alignment horizontal="left"/>
    </xf>
    <xf numFmtId="0" fontId="1" fillId="7" borderId="0" xfId="0" applyFont="1" applyFill="1" applyBorder="1" applyAlignment="1">
      <alignment horizontal="left"/>
    </xf>
    <xf numFmtId="0" fontId="1" fillId="7" borderId="5" xfId="0" applyFont="1" applyFill="1" applyBorder="1" applyAlignment="1">
      <alignment horizontal="left"/>
    </xf>
    <xf numFmtId="0" fontId="1" fillId="7" borderId="0" xfId="0" quotePrefix="1" applyFont="1" applyFill="1" applyBorder="1" applyAlignment="1">
      <alignment horizontal="left"/>
    </xf>
    <xf numFmtId="0" fontId="1" fillId="7" borderId="5" xfId="0" quotePrefix="1" applyFont="1" applyFill="1" applyBorder="1" applyAlignment="1">
      <alignment horizontal="left"/>
    </xf>
    <xf numFmtId="0" fontId="1" fillId="7" borderId="12" xfId="0" quotePrefix="1" applyFont="1" applyFill="1" applyBorder="1" applyAlignment="1">
      <alignment horizontal="left"/>
    </xf>
    <xf numFmtId="0" fontId="1" fillId="7" borderId="6" xfId="0" quotePrefix="1" applyFont="1" applyFill="1" applyBorder="1" applyAlignment="1">
      <alignment horizontal="left"/>
    </xf>
    <xf numFmtId="0" fontId="1" fillId="7" borderId="7" xfId="0" quotePrefix="1" applyFont="1" applyFill="1" applyBorder="1" applyAlignment="1">
      <alignment horizontal="left"/>
    </xf>
    <xf numFmtId="0" fontId="1" fillId="8" borderId="9" xfId="0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/>
    </xf>
    <xf numFmtId="0" fontId="16" fillId="13" borderId="2" xfId="0" applyFont="1" applyFill="1" applyBorder="1" applyAlignment="1">
      <alignment horizontal="center"/>
    </xf>
    <xf numFmtId="0" fontId="16" fillId="13" borderId="3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left"/>
    </xf>
    <xf numFmtId="0" fontId="1" fillId="8" borderId="9" xfId="0" applyFont="1" applyFill="1" applyBorder="1" applyAlignment="1">
      <alignment horizontal="left" vertical="top" wrapText="1"/>
    </xf>
    <xf numFmtId="0" fontId="1" fillId="8" borderId="10" xfId="0" applyFont="1" applyFill="1" applyBorder="1" applyAlignment="1">
      <alignment horizontal="left" vertical="top" wrapText="1"/>
    </xf>
    <xf numFmtId="0" fontId="1" fillId="8" borderId="11" xfId="0" applyFont="1" applyFill="1" applyBorder="1" applyAlignment="1">
      <alignment horizontal="left" vertical="top" wrapText="1"/>
    </xf>
    <xf numFmtId="0" fontId="16" fillId="13" borderId="4" xfId="0" applyFont="1" applyFill="1" applyBorder="1" applyAlignment="1">
      <alignment horizontal="center"/>
    </xf>
    <xf numFmtId="0" fontId="16" fillId="13" borderId="0" xfId="0" applyFont="1" applyFill="1" applyBorder="1" applyAlignment="1">
      <alignment horizontal="center"/>
    </xf>
    <xf numFmtId="0" fontId="16" fillId="13" borderId="5" xfId="0" applyFont="1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6" fillId="9" borderId="27" xfId="0" quotePrefix="1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9" borderId="29" xfId="0" applyFont="1" applyFill="1" applyBorder="1" applyAlignment="1">
      <alignment horizontal="center" vertical="center"/>
    </xf>
    <xf numFmtId="167" fontId="10" fillId="9" borderId="0" xfId="0" quotePrefix="1" applyNumberFormat="1" applyFont="1" applyFill="1" applyBorder="1" applyAlignment="1">
      <alignment horizontal="center" vertical="center"/>
    </xf>
    <xf numFmtId="167" fontId="10" fillId="9" borderId="0" xfId="0" applyNumberFormat="1" applyFont="1" applyFill="1" applyBorder="1" applyAlignment="1">
      <alignment horizontal="center" vertical="center"/>
    </xf>
    <xf numFmtId="0" fontId="11" fillId="9" borderId="14" xfId="0" applyFont="1" applyFill="1" applyBorder="1" applyAlignment="1">
      <alignment horizontal="center" vertical="center"/>
    </xf>
    <xf numFmtId="0" fontId="11" fillId="9" borderId="15" xfId="0" applyFont="1" applyFill="1" applyBorder="1" applyAlignment="1">
      <alignment horizontal="center" vertical="center"/>
    </xf>
    <xf numFmtId="0" fontId="11" fillId="9" borderId="17" xfId="0" applyFont="1" applyFill="1" applyBorder="1" applyAlignment="1">
      <alignment horizontal="center" vertical="center"/>
    </xf>
    <xf numFmtId="0" fontId="11" fillId="9" borderId="18" xfId="0" applyFont="1" applyFill="1" applyBorder="1" applyAlignment="1">
      <alignment horizontal="center" vertical="center"/>
    </xf>
    <xf numFmtId="0" fontId="11" fillId="9" borderId="15" xfId="0" applyFont="1" applyFill="1" applyBorder="1" applyAlignment="1">
      <alignment horizontal="center" vertical="top"/>
    </xf>
    <xf numFmtId="0" fontId="11" fillId="9" borderId="16" xfId="0" applyFont="1" applyFill="1" applyBorder="1" applyAlignment="1">
      <alignment horizontal="center" vertical="top"/>
    </xf>
    <xf numFmtId="0" fontId="0" fillId="9" borderId="0" xfId="0" applyFill="1" applyBorder="1" applyAlignment="1">
      <alignment horizontal="center"/>
    </xf>
    <xf numFmtId="0" fontId="17" fillId="14" borderId="1" xfId="0" applyFont="1" applyFill="1" applyBorder="1" applyAlignment="1">
      <alignment horizontal="center"/>
    </xf>
    <xf numFmtId="0" fontId="17" fillId="14" borderId="3" xfId="0" applyFont="1" applyFill="1" applyBorder="1" applyAlignment="1">
      <alignment horizontal="center"/>
    </xf>
    <xf numFmtId="0" fontId="17" fillId="10" borderId="1" xfId="0" applyFont="1" applyFill="1" applyBorder="1" applyAlignment="1">
      <alignment horizontal="center"/>
    </xf>
    <xf numFmtId="0" fontId="17" fillId="10" borderId="3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296334</xdr:colOff>
      <xdr:row>17</xdr:row>
      <xdr:rowOff>0</xdr:rowOff>
    </xdr:from>
    <xdr:to>
      <xdr:col>4</xdr:col>
      <xdr:colOff>0</xdr:colOff>
      <xdr:row>20</xdr:row>
      <xdr:rowOff>0</xdr:rowOff>
    </xdr:to>
    <xdr:sp macro="[0]!AddRu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10167" y="4487333"/>
          <a:ext cx="1957916" cy="645584"/>
        </a:xfrm>
        <a:prstGeom prst="roundRect">
          <a:avLst>
            <a:gd name="adj" fmla="val 23334"/>
          </a:avLst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000" b="1">
              <a:latin typeface="Segoe UI Semibold" pitchFamily="34" charset="0"/>
              <a:cs typeface="Segoe UI Semibold" pitchFamily="34" charset="0"/>
            </a:rPr>
            <a:t>Push</a:t>
          </a:r>
          <a:r>
            <a:rPr lang="en-US" sz="2000" b="1" baseline="0">
              <a:latin typeface="Segoe UI Semibold" pitchFamily="34" charset="0"/>
              <a:cs typeface="Segoe UI Semibold" pitchFamily="34" charset="0"/>
            </a:rPr>
            <a:t> to Log!</a:t>
          </a:r>
        </a:p>
      </xdr:txBody>
    </xdr:sp>
    <xdr:clientData/>
  </xdr:twoCellAnchor>
  <xdr:twoCellAnchor>
    <xdr:from>
      <xdr:col>4</xdr:col>
      <xdr:colOff>317500</xdr:colOff>
      <xdr:row>17</xdr:row>
      <xdr:rowOff>0</xdr:rowOff>
    </xdr:from>
    <xdr:to>
      <xdr:col>6</xdr:col>
      <xdr:colOff>0</xdr:colOff>
      <xdr:row>19</xdr:row>
      <xdr:rowOff>222249</xdr:rowOff>
    </xdr:to>
    <xdr:sp macro="[0]!Rese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185583" y="4487333"/>
          <a:ext cx="994834" cy="64558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000">
              <a:latin typeface="Segoe UI Semibold" pitchFamily="34" charset="0"/>
              <a:cs typeface="Segoe UI Semibold" pitchFamily="34" charset="0"/>
            </a:rPr>
            <a:t>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526998</xdr:colOff>
      <xdr:row>6</xdr:row>
      <xdr:rowOff>95250</xdr:rowOff>
    </xdr:from>
    <xdr:ext cx="11398250" cy="423773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0793163">
          <a:off x="526998" y="1778000"/>
          <a:ext cx="11398250" cy="423773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11500" b="1" cap="none" spc="30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Not yet</a:t>
          </a:r>
          <a:r>
            <a:rPr lang="en-US" sz="11500" b="1" cap="none" spc="300" baseline="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 working!</a:t>
          </a:r>
        </a:p>
        <a:p>
          <a:pPr algn="ctr"/>
          <a:r>
            <a:rPr lang="en-US" sz="11500" b="1" cap="none" spc="300" baseline="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Check back soon!</a:t>
          </a:r>
          <a:endParaRPr lang="en-US" sz="11500" b="1" cap="none" spc="300">
            <a:ln w="11430" cmpd="sng">
              <a:solidFill>
                <a:schemeClr val="accent1">
                  <a:tint val="10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1">
                    <a:tint val="83000"/>
                    <a:shade val="100000"/>
                    <a:satMod val="200000"/>
                  </a:schemeClr>
                </a:gs>
                <a:gs pos="75000">
                  <a:schemeClr val="accent1">
                    <a:tint val="100000"/>
                    <a:shade val="50000"/>
                    <a:satMod val="150000"/>
                  </a:schemeClr>
                </a:gs>
              </a:gsLst>
              <a:lin ang="5400000"/>
            </a:gradFill>
            <a:effectLst>
              <a:glow rad="45500">
                <a:schemeClr val="accent1">
                  <a:satMod val="220000"/>
                  <a:alpha val="35000"/>
                </a:schemeClr>
              </a:glo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AP210"/>
  <sheetViews>
    <sheetView zoomScale="90" zoomScaleNormal="90" workbookViewId="0" xr3:uid="{AEA406A1-0E4B-5B11-9CD5-51D6E497D94C}">
      <selection activeCell="C4" sqref="C4"/>
    </sheetView>
  </sheetViews>
  <sheetFormatPr defaultRowHeight="16.5"/>
  <cols>
    <col min="1" max="1" width="9.140625" style="31"/>
    <col min="2" max="2" width="14" style="1" bestFit="1" customWidth="1"/>
    <col min="3" max="3" width="9.7109375" style="1" customWidth="1"/>
    <col min="4" max="4" width="10.140625" style="1" bestFit="1" customWidth="1"/>
    <col min="5" max="5" width="9.5703125" style="1" bestFit="1" customWidth="1"/>
    <col min="6" max="6" width="10.140625" style="1" customWidth="1"/>
    <col min="7" max="7" width="5.28515625" style="1" customWidth="1"/>
    <col min="8" max="8" width="9.140625" style="31"/>
    <col min="9" max="9" width="9.140625" style="1"/>
    <col min="10" max="10" width="4.42578125" style="1" customWidth="1"/>
    <col min="11" max="11" width="9.140625" style="1"/>
    <col min="12" max="12" width="24.28515625" style="31" customWidth="1"/>
    <col min="13" max="13" width="22.42578125" style="31" customWidth="1"/>
    <col min="14" max="42" width="9.140625" style="31"/>
    <col min="43" max="16384" width="9.140625" style="1"/>
  </cols>
  <sheetData>
    <row r="1" spans="2:13" s="31" customFormat="1" ht="17.25" thickBot="1"/>
    <row r="2" spans="2:13" ht="30.75">
      <c r="B2" s="137" t="s">
        <v>0</v>
      </c>
      <c r="C2" s="138"/>
      <c r="D2" s="138"/>
      <c r="E2" s="138"/>
      <c r="F2" s="138"/>
      <c r="G2" s="139"/>
      <c r="I2" s="137" t="s">
        <v>1</v>
      </c>
      <c r="J2" s="138"/>
      <c r="K2" s="139"/>
    </row>
    <row r="3" spans="2:13" ht="15" customHeight="1">
      <c r="B3" s="7"/>
      <c r="C3" s="8"/>
      <c r="D3" s="8"/>
      <c r="E3" s="8"/>
      <c r="F3" s="8"/>
      <c r="G3" s="9"/>
      <c r="I3" s="22"/>
      <c r="J3" s="23"/>
      <c r="K3" s="24"/>
    </row>
    <row r="4" spans="2:13">
      <c r="B4" s="10" t="s">
        <v>2</v>
      </c>
      <c r="C4" s="29"/>
      <c r="D4" s="11"/>
      <c r="E4" s="12"/>
      <c r="F4" s="12"/>
      <c r="G4" s="9"/>
      <c r="I4" s="7" t="s">
        <v>3</v>
      </c>
      <c r="J4" s="15">
        <v>1</v>
      </c>
      <c r="K4" s="2"/>
    </row>
    <row r="5" spans="2:13">
      <c r="B5" s="10"/>
      <c r="C5" s="11"/>
      <c r="D5" s="11"/>
      <c r="E5" s="8"/>
      <c r="F5" s="8"/>
      <c r="G5" s="9"/>
      <c r="I5" s="7" t="s">
        <v>4</v>
      </c>
      <c r="J5" s="15">
        <v>2</v>
      </c>
      <c r="K5" s="3"/>
    </row>
    <row r="6" spans="2:13">
      <c r="B6" s="10" t="s">
        <v>5</v>
      </c>
      <c r="C6" s="28"/>
      <c r="D6" s="8" t="s">
        <v>6</v>
      </c>
      <c r="E6" s="8"/>
      <c r="F6" s="8"/>
      <c r="G6" s="9"/>
      <c r="I6" s="7" t="s">
        <v>7</v>
      </c>
      <c r="J6" s="15">
        <v>3</v>
      </c>
      <c r="K6" s="4"/>
    </row>
    <row r="7" spans="2:13">
      <c r="B7" s="10"/>
      <c r="C7" s="11"/>
      <c r="D7" s="11"/>
      <c r="E7" s="13"/>
      <c r="F7" s="13"/>
      <c r="G7" s="14"/>
      <c r="I7" s="7" t="s">
        <v>8</v>
      </c>
      <c r="J7" s="15">
        <v>4</v>
      </c>
      <c r="K7" s="5"/>
    </row>
    <row r="8" spans="2:13" ht="17.25" thickBot="1">
      <c r="B8" s="10" t="s">
        <v>9</v>
      </c>
      <c r="C8" s="28"/>
      <c r="D8" s="15" t="s">
        <v>10</v>
      </c>
      <c r="E8" s="30"/>
      <c r="F8" s="101" t="s">
        <v>11</v>
      </c>
      <c r="G8" s="114"/>
      <c r="H8" s="32"/>
      <c r="I8" s="25" t="s">
        <v>12</v>
      </c>
      <c r="J8" s="26">
        <v>5</v>
      </c>
      <c r="K8" s="6"/>
    </row>
    <row r="9" spans="2:13">
      <c r="B9" s="10"/>
      <c r="C9" s="11"/>
      <c r="D9" s="11"/>
      <c r="E9" s="8"/>
      <c r="F9" s="8"/>
      <c r="G9" s="9"/>
      <c r="I9" s="31"/>
      <c r="J9" s="31"/>
      <c r="K9" s="31"/>
    </row>
    <row r="10" spans="2:13">
      <c r="B10" s="10" t="s">
        <v>13</v>
      </c>
      <c r="C10" s="27" t="str">
        <f>IF(C8="","",(((((C8+(E8/60))/C6)/24))))</f>
        <v/>
      </c>
      <c r="D10" s="140" t="s">
        <v>14</v>
      </c>
      <c r="E10" s="128"/>
      <c r="F10" s="16"/>
      <c r="G10" s="17"/>
      <c r="I10" s="31"/>
      <c r="J10" s="31"/>
      <c r="K10" s="31"/>
    </row>
    <row r="11" spans="2:13">
      <c r="B11" s="10"/>
      <c r="C11" s="11"/>
      <c r="D11" s="11"/>
      <c r="E11" s="8"/>
      <c r="F11" s="8"/>
      <c r="G11" s="9"/>
      <c r="I11" s="31"/>
      <c r="J11" s="31"/>
      <c r="K11" s="31"/>
    </row>
    <row r="12" spans="2:13" ht="27.75" customHeight="1">
      <c r="B12" s="18" t="s">
        <v>15</v>
      </c>
      <c r="C12" s="30"/>
      <c r="D12" s="11"/>
      <c r="E12" s="8"/>
      <c r="F12" s="8"/>
      <c r="G12" s="9"/>
      <c r="I12" s="31"/>
      <c r="J12" s="31"/>
      <c r="K12" s="31"/>
    </row>
    <row r="13" spans="2:13" ht="16.5" customHeight="1">
      <c r="B13" s="10"/>
      <c r="C13" s="11"/>
      <c r="D13" s="11"/>
      <c r="E13" s="8"/>
      <c r="F13" s="8"/>
      <c r="G13" s="9"/>
      <c r="I13" s="31"/>
      <c r="J13" s="31"/>
      <c r="K13" s="31"/>
    </row>
    <row r="14" spans="2:13" ht="61.5" customHeight="1" thickBot="1">
      <c r="B14" s="19" t="s">
        <v>16</v>
      </c>
      <c r="C14" s="141"/>
      <c r="D14" s="142"/>
      <c r="E14" s="142"/>
      <c r="F14" s="143"/>
      <c r="G14" s="9"/>
      <c r="I14" s="31"/>
      <c r="J14" s="31"/>
      <c r="K14" s="31"/>
    </row>
    <row r="15" spans="2:13">
      <c r="B15" s="10"/>
      <c r="C15" s="11"/>
      <c r="D15" s="11"/>
      <c r="E15" s="8"/>
      <c r="F15" s="8"/>
      <c r="G15" s="9"/>
      <c r="I15" s="137" t="s">
        <v>17</v>
      </c>
      <c r="J15" s="138"/>
      <c r="K15" s="138"/>
      <c r="L15" s="138"/>
      <c r="M15" s="139"/>
    </row>
    <row r="16" spans="2:13">
      <c r="B16" s="10" t="s">
        <v>18</v>
      </c>
      <c r="C16" s="135" t="s">
        <v>19</v>
      </c>
      <c r="D16" s="136"/>
      <c r="E16" s="8"/>
      <c r="F16" s="8"/>
      <c r="G16" s="9"/>
      <c r="I16" s="144"/>
      <c r="J16" s="145"/>
      <c r="K16" s="145"/>
      <c r="L16" s="145"/>
      <c r="M16" s="146"/>
    </row>
    <row r="17" spans="2:13">
      <c r="B17" s="7"/>
      <c r="C17" s="8"/>
      <c r="D17" s="8"/>
      <c r="E17" s="8"/>
      <c r="F17" s="8"/>
      <c r="G17" s="9"/>
      <c r="I17" s="127" t="s">
        <v>20</v>
      </c>
      <c r="J17" s="128"/>
      <c r="K17" s="128"/>
      <c r="L17" s="128"/>
      <c r="M17" s="129"/>
    </row>
    <row r="18" spans="2:13">
      <c r="B18" s="7"/>
      <c r="C18" s="8"/>
      <c r="D18" s="8"/>
      <c r="E18" s="8"/>
      <c r="F18" s="8"/>
      <c r="G18" s="9"/>
      <c r="I18" s="127" t="s">
        <v>21</v>
      </c>
      <c r="J18" s="130"/>
      <c r="K18" s="130"/>
      <c r="L18" s="130"/>
      <c r="M18" s="131"/>
    </row>
    <row r="19" spans="2:13">
      <c r="B19" s="7"/>
      <c r="C19" s="8"/>
      <c r="D19" s="8"/>
      <c r="E19" s="8"/>
      <c r="F19" s="8"/>
      <c r="G19" s="9"/>
      <c r="I19" s="127" t="s">
        <v>22</v>
      </c>
      <c r="J19" s="130"/>
      <c r="K19" s="130"/>
      <c r="L19" s="130"/>
      <c r="M19" s="131"/>
    </row>
    <row r="20" spans="2:13" ht="17.25" thickBot="1">
      <c r="B20" s="7"/>
      <c r="C20" s="8"/>
      <c r="D20" s="8"/>
      <c r="E20" s="8"/>
      <c r="F20" s="8"/>
      <c r="G20" s="9"/>
      <c r="I20" s="132" t="s">
        <v>23</v>
      </c>
      <c r="J20" s="133"/>
      <c r="K20" s="133"/>
      <c r="L20" s="133"/>
      <c r="M20" s="134"/>
    </row>
    <row r="21" spans="2:13" ht="17.25" thickBot="1">
      <c r="B21" s="25"/>
      <c r="C21" s="20"/>
      <c r="D21" s="20"/>
      <c r="E21" s="20"/>
      <c r="F21" s="20"/>
      <c r="G21" s="21"/>
      <c r="I21" s="31"/>
      <c r="J21" s="31"/>
      <c r="K21" s="31"/>
    </row>
    <row r="22" spans="2:13">
      <c r="B22" s="31"/>
      <c r="C22" s="31"/>
      <c r="D22" s="31"/>
      <c r="E22" s="31"/>
      <c r="F22" s="31"/>
      <c r="G22" s="31"/>
      <c r="I22" s="31"/>
      <c r="J22" s="31"/>
      <c r="K22" s="31"/>
    </row>
    <row r="23" spans="2:13">
      <c r="B23" s="31"/>
      <c r="C23" s="31"/>
      <c r="D23" s="31"/>
      <c r="E23" s="31"/>
      <c r="F23" s="31"/>
      <c r="G23" s="31"/>
      <c r="I23" s="31"/>
      <c r="J23" s="31"/>
      <c r="K23" s="31"/>
    </row>
    <row r="24" spans="2:13">
      <c r="B24" s="31"/>
      <c r="C24" s="31"/>
      <c r="D24" s="31"/>
      <c r="E24" s="31"/>
      <c r="F24" s="31"/>
      <c r="G24" s="31"/>
      <c r="I24" s="31"/>
      <c r="J24" s="31"/>
      <c r="K24" s="31"/>
    </row>
    <row r="25" spans="2:13">
      <c r="B25" s="31"/>
      <c r="C25" s="31"/>
      <c r="D25" s="31"/>
      <c r="E25" s="31"/>
      <c r="F25" s="31"/>
      <c r="G25" s="31"/>
      <c r="I25" s="31"/>
      <c r="J25" s="31"/>
      <c r="K25" s="31"/>
    </row>
    <row r="26" spans="2:13">
      <c r="B26" s="31"/>
      <c r="C26" s="31"/>
      <c r="D26" s="31"/>
      <c r="E26" s="31"/>
      <c r="F26" s="31"/>
      <c r="G26" s="31"/>
      <c r="I26" s="31"/>
      <c r="J26" s="31"/>
      <c r="K26" s="31"/>
    </row>
    <row r="27" spans="2:13">
      <c r="B27" s="31"/>
      <c r="C27" s="31"/>
      <c r="D27" s="31"/>
      <c r="E27" s="31"/>
      <c r="F27" s="31"/>
      <c r="G27" s="31"/>
      <c r="I27" s="31"/>
      <c r="J27" s="31"/>
      <c r="K27" s="31"/>
    </row>
    <row r="28" spans="2:13">
      <c r="B28" s="31"/>
      <c r="C28" s="31"/>
      <c r="D28" s="31"/>
      <c r="E28" s="31"/>
      <c r="F28" s="31"/>
      <c r="G28" s="31"/>
      <c r="I28" s="31"/>
      <c r="J28" s="31"/>
      <c r="K28" s="31"/>
    </row>
    <row r="29" spans="2:13">
      <c r="B29" s="31"/>
      <c r="C29" s="31"/>
      <c r="D29" s="31"/>
      <c r="E29" s="31"/>
      <c r="F29" s="31"/>
      <c r="G29" s="31"/>
      <c r="I29" s="31"/>
      <c r="J29" s="31"/>
      <c r="K29" s="31"/>
    </row>
    <row r="30" spans="2:13">
      <c r="B30" s="31"/>
      <c r="C30" s="31"/>
      <c r="D30" s="31"/>
      <c r="E30" s="31"/>
      <c r="F30" s="31"/>
      <c r="G30" s="31"/>
      <c r="I30" s="31"/>
      <c r="J30" s="31"/>
      <c r="K30" s="31"/>
    </row>
    <row r="31" spans="2:13">
      <c r="B31" s="31"/>
      <c r="C31" s="31"/>
      <c r="D31" s="31"/>
      <c r="E31" s="31"/>
      <c r="F31" s="31"/>
      <c r="G31" s="31"/>
      <c r="I31" s="31"/>
      <c r="J31" s="31"/>
      <c r="K31" s="31"/>
    </row>
    <row r="32" spans="2:13">
      <c r="B32" s="31"/>
      <c r="C32" s="31"/>
      <c r="D32" s="31"/>
      <c r="E32" s="31"/>
      <c r="F32" s="31"/>
      <c r="G32" s="31"/>
      <c r="I32" s="31"/>
      <c r="J32" s="31"/>
      <c r="K32" s="31"/>
    </row>
    <row r="33" spans="2:11">
      <c r="B33" s="31"/>
      <c r="C33" s="31"/>
      <c r="D33" s="31"/>
      <c r="E33" s="31"/>
      <c r="F33" s="31"/>
      <c r="G33" s="31"/>
      <c r="I33" s="31"/>
      <c r="J33" s="31"/>
      <c r="K33" s="31"/>
    </row>
    <row r="34" spans="2:11">
      <c r="B34" s="31"/>
      <c r="C34" s="31"/>
      <c r="D34" s="31"/>
      <c r="E34" s="31"/>
      <c r="F34" s="31"/>
      <c r="G34" s="31"/>
      <c r="I34" s="31"/>
      <c r="J34" s="31"/>
      <c r="K34" s="31"/>
    </row>
    <row r="35" spans="2:11">
      <c r="B35" s="31"/>
      <c r="C35" s="31"/>
      <c r="D35" s="31"/>
      <c r="E35" s="31"/>
      <c r="F35" s="31"/>
      <c r="G35" s="31"/>
      <c r="I35" s="31"/>
      <c r="J35" s="31"/>
      <c r="K35" s="31"/>
    </row>
    <row r="36" spans="2:11">
      <c r="B36" s="31"/>
      <c r="C36" s="31"/>
      <c r="D36" s="31"/>
      <c r="E36" s="31"/>
      <c r="F36" s="31"/>
      <c r="G36" s="31"/>
      <c r="I36" s="31"/>
      <c r="J36" s="31"/>
      <c r="K36" s="31"/>
    </row>
    <row r="37" spans="2:11">
      <c r="B37" s="31"/>
      <c r="C37" s="31"/>
      <c r="D37" s="31"/>
      <c r="E37" s="31"/>
      <c r="F37" s="31"/>
      <c r="G37" s="31"/>
      <c r="I37" s="31"/>
      <c r="J37" s="31"/>
      <c r="K37" s="31"/>
    </row>
    <row r="38" spans="2:11">
      <c r="B38" s="31"/>
      <c r="C38" s="31"/>
      <c r="D38" s="31"/>
      <c r="E38" s="31"/>
      <c r="F38" s="31"/>
      <c r="G38" s="31"/>
      <c r="I38" s="31"/>
      <c r="J38" s="31"/>
      <c r="K38" s="31"/>
    </row>
    <row r="39" spans="2:11">
      <c r="B39" s="31"/>
      <c r="C39" s="31"/>
      <c r="D39" s="31"/>
      <c r="E39" s="31"/>
      <c r="F39" s="31"/>
      <c r="G39" s="31"/>
      <c r="I39" s="31"/>
      <c r="J39" s="31"/>
      <c r="K39" s="31"/>
    </row>
    <row r="40" spans="2:11">
      <c r="B40" s="31"/>
      <c r="C40" s="31"/>
      <c r="D40" s="31"/>
      <c r="E40" s="31"/>
      <c r="F40" s="31"/>
      <c r="G40" s="31"/>
      <c r="I40" s="31"/>
      <c r="J40" s="31"/>
      <c r="K40" s="31"/>
    </row>
    <row r="41" spans="2:11">
      <c r="B41" s="31"/>
      <c r="C41" s="31"/>
      <c r="D41" s="31"/>
      <c r="E41" s="31"/>
      <c r="F41" s="31"/>
      <c r="G41" s="31"/>
      <c r="I41" s="31"/>
      <c r="J41" s="31"/>
      <c r="K41" s="31"/>
    </row>
    <row r="42" spans="2:11">
      <c r="B42" s="31"/>
      <c r="C42" s="31"/>
      <c r="D42" s="31"/>
      <c r="E42" s="31"/>
      <c r="F42" s="31"/>
      <c r="G42" s="31"/>
      <c r="I42" s="31"/>
      <c r="J42" s="31"/>
      <c r="K42" s="31"/>
    </row>
    <row r="43" spans="2:11">
      <c r="B43" s="31"/>
      <c r="C43" s="31"/>
      <c r="D43" s="31"/>
      <c r="E43" s="31"/>
      <c r="F43" s="31"/>
      <c r="G43" s="31"/>
      <c r="I43" s="31"/>
      <c r="J43" s="31"/>
      <c r="K43" s="31"/>
    </row>
    <row r="44" spans="2:11">
      <c r="B44" s="31"/>
      <c r="C44" s="31"/>
      <c r="D44" s="31"/>
      <c r="E44" s="31"/>
      <c r="F44" s="31"/>
      <c r="G44" s="31"/>
      <c r="I44" s="31"/>
      <c r="J44" s="31"/>
      <c r="K44" s="31"/>
    </row>
    <row r="45" spans="2:11">
      <c r="B45" s="31"/>
      <c r="C45" s="31"/>
      <c r="D45" s="31"/>
      <c r="E45" s="31"/>
      <c r="F45" s="31"/>
      <c r="G45" s="31"/>
      <c r="I45" s="31"/>
      <c r="J45" s="31"/>
      <c r="K45" s="31"/>
    </row>
    <row r="46" spans="2:11">
      <c r="B46" s="31"/>
      <c r="C46" s="31"/>
      <c r="D46" s="31"/>
      <c r="E46" s="31"/>
      <c r="F46" s="31"/>
      <c r="G46" s="31"/>
      <c r="I46" s="31"/>
      <c r="J46" s="31"/>
      <c r="K46" s="31"/>
    </row>
    <row r="47" spans="2:11">
      <c r="B47" s="31"/>
      <c r="C47" s="31"/>
      <c r="D47" s="31"/>
      <c r="E47" s="31"/>
      <c r="F47" s="31"/>
      <c r="G47" s="31"/>
      <c r="I47" s="31"/>
      <c r="J47" s="31"/>
      <c r="K47" s="31"/>
    </row>
    <row r="48" spans="2:11">
      <c r="B48" s="31"/>
      <c r="C48" s="31"/>
      <c r="D48" s="31"/>
      <c r="E48" s="31"/>
      <c r="F48" s="31"/>
      <c r="G48" s="31"/>
      <c r="I48" s="31"/>
      <c r="J48" s="31"/>
      <c r="K48" s="31"/>
    </row>
    <row r="49" spans="2:11">
      <c r="B49" s="31"/>
      <c r="C49" s="31"/>
      <c r="D49" s="31"/>
      <c r="E49" s="31"/>
      <c r="F49" s="31"/>
      <c r="G49" s="31"/>
      <c r="I49" s="31"/>
      <c r="J49" s="31"/>
      <c r="K49" s="31"/>
    </row>
    <row r="50" spans="2:11">
      <c r="B50" s="31"/>
      <c r="C50" s="31"/>
      <c r="D50" s="31"/>
      <c r="E50" s="31"/>
      <c r="F50" s="31"/>
      <c r="G50" s="31"/>
      <c r="I50" s="31"/>
      <c r="J50" s="31"/>
      <c r="K50" s="31"/>
    </row>
    <row r="51" spans="2:11">
      <c r="B51" s="31"/>
      <c r="C51" s="31"/>
      <c r="D51" s="31"/>
      <c r="E51" s="31"/>
      <c r="F51" s="31"/>
      <c r="G51" s="31"/>
      <c r="I51" s="31"/>
      <c r="J51" s="31"/>
      <c r="K51" s="31"/>
    </row>
    <row r="52" spans="2:11">
      <c r="B52" s="31"/>
      <c r="C52" s="31"/>
      <c r="D52" s="31"/>
      <c r="E52" s="31"/>
      <c r="F52" s="31"/>
      <c r="G52" s="31"/>
      <c r="I52" s="31"/>
      <c r="J52" s="31"/>
      <c r="K52" s="31"/>
    </row>
    <row r="53" spans="2:11">
      <c r="B53" s="31"/>
      <c r="C53" s="31"/>
      <c r="D53" s="31"/>
      <c r="E53" s="31"/>
      <c r="F53" s="31"/>
      <c r="G53" s="31"/>
      <c r="I53" s="31"/>
      <c r="J53" s="31"/>
      <c r="K53" s="31"/>
    </row>
    <row r="54" spans="2:11">
      <c r="B54" s="31"/>
      <c r="C54" s="31"/>
      <c r="D54" s="31"/>
      <c r="E54" s="31"/>
      <c r="F54" s="31"/>
      <c r="G54" s="31"/>
      <c r="I54" s="31"/>
      <c r="J54" s="31"/>
      <c r="K54" s="31"/>
    </row>
    <row r="55" spans="2:11">
      <c r="B55" s="31"/>
      <c r="C55" s="31"/>
      <c r="D55" s="31"/>
      <c r="E55" s="31"/>
      <c r="F55" s="31"/>
      <c r="G55" s="31"/>
      <c r="I55" s="31"/>
      <c r="J55" s="31"/>
      <c r="K55" s="31"/>
    </row>
    <row r="56" spans="2:11">
      <c r="B56" s="31"/>
      <c r="C56" s="31"/>
      <c r="D56" s="31"/>
      <c r="E56" s="31"/>
      <c r="F56" s="31"/>
      <c r="G56" s="31"/>
      <c r="I56" s="31"/>
      <c r="J56" s="31"/>
      <c r="K56" s="31"/>
    </row>
    <row r="57" spans="2:11">
      <c r="B57" s="31"/>
      <c r="C57" s="31"/>
      <c r="D57" s="31"/>
      <c r="E57" s="31"/>
      <c r="F57" s="31"/>
      <c r="G57" s="31"/>
      <c r="I57" s="31"/>
      <c r="J57" s="31"/>
      <c r="K57" s="31"/>
    </row>
    <row r="58" spans="2:11">
      <c r="B58" s="31"/>
      <c r="C58" s="31"/>
      <c r="D58" s="31"/>
      <c r="E58" s="31"/>
      <c r="F58" s="31"/>
      <c r="G58" s="31"/>
      <c r="I58" s="31"/>
      <c r="J58" s="31"/>
      <c r="K58" s="31"/>
    </row>
    <row r="59" spans="2:11">
      <c r="B59" s="31"/>
      <c r="C59" s="31"/>
      <c r="D59" s="31"/>
      <c r="E59" s="31"/>
      <c r="F59" s="31"/>
      <c r="G59" s="31"/>
      <c r="I59" s="31"/>
      <c r="J59" s="31"/>
      <c r="K59" s="31"/>
    </row>
    <row r="60" spans="2:11">
      <c r="B60" s="31"/>
      <c r="C60" s="31"/>
      <c r="D60" s="31"/>
      <c r="E60" s="31"/>
      <c r="F60" s="31"/>
      <c r="G60" s="31"/>
      <c r="I60" s="31"/>
      <c r="J60" s="31"/>
      <c r="K60" s="31"/>
    </row>
    <row r="61" spans="2:11">
      <c r="B61" s="31"/>
      <c r="C61" s="31"/>
      <c r="D61" s="31"/>
      <c r="E61" s="31"/>
      <c r="F61" s="31"/>
      <c r="G61" s="31"/>
      <c r="I61" s="31"/>
      <c r="J61" s="31"/>
      <c r="K61" s="31"/>
    </row>
    <row r="62" spans="2:11">
      <c r="B62" s="31"/>
      <c r="C62" s="31"/>
      <c r="D62" s="31"/>
      <c r="E62" s="31"/>
      <c r="F62" s="31"/>
      <c r="G62" s="31"/>
      <c r="I62" s="31"/>
      <c r="J62" s="31"/>
      <c r="K62" s="31"/>
    </row>
    <row r="63" spans="2:11">
      <c r="B63" s="31"/>
      <c r="C63" s="31"/>
      <c r="D63" s="31"/>
      <c r="E63" s="31"/>
      <c r="F63" s="31"/>
      <c r="G63" s="31"/>
      <c r="I63" s="31"/>
      <c r="J63" s="31"/>
      <c r="K63" s="31"/>
    </row>
    <row r="64" spans="2:11">
      <c r="B64" s="31"/>
      <c r="C64" s="31"/>
      <c r="D64" s="31"/>
      <c r="E64" s="31"/>
      <c r="F64" s="31"/>
      <c r="G64" s="31"/>
      <c r="I64" s="31"/>
      <c r="J64" s="31"/>
      <c r="K64" s="31"/>
    </row>
    <row r="65" spans="2:11">
      <c r="B65" s="31"/>
      <c r="C65" s="31"/>
      <c r="D65" s="31"/>
      <c r="E65" s="31"/>
      <c r="F65" s="31"/>
      <c r="G65" s="31"/>
      <c r="I65" s="31"/>
      <c r="J65" s="31"/>
      <c r="K65" s="31"/>
    </row>
    <row r="66" spans="2:11">
      <c r="B66" s="31"/>
      <c r="C66" s="31"/>
      <c r="D66" s="31"/>
      <c r="E66" s="31"/>
      <c r="F66" s="31"/>
      <c r="G66" s="31"/>
      <c r="I66" s="31"/>
      <c r="J66" s="31"/>
      <c r="K66" s="31"/>
    </row>
    <row r="67" spans="2:11">
      <c r="B67" s="31"/>
      <c r="C67" s="31"/>
      <c r="D67" s="31"/>
      <c r="E67" s="31"/>
      <c r="F67" s="31"/>
      <c r="G67" s="31"/>
      <c r="I67" s="31"/>
      <c r="J67" s="31"/>
      <c r="K67" s="31"/>
    </row>
    <row r="68" spans="2:11">
      <c r="B68" s="31"/>
      <c r="C68" s="31"/>
      <c r="D68" s="31"/>
      <c r="E68" s="31"/>
      <c r="F68" s="31"/>
      <c r="G68" s="31"/>
      <c r="I68" s="31"/>
      <c r="J68" s="31"/>
      <c r="K68" s="31"/>
    </row>
    <row r="69" spans="2:11">
      <c r="B69" s="31"/>
      <c r="C69" s="31"/>
      <c r="D69" s="31"/>
      <c r="E69" s="31"/>
      <c r="F69" s="31"/>
      <c r="G69" s="31"/>
      <c r="I69" s="31"/>
      <c r="J69" s="31"/>
      <c r="K69" s="31"/>
    </row>
    <row r="70" spans="2:11">
      <c r="B70" s="31"/>
      <c r="C70" s="31"/>
      <c r="D70" s="31"/>
      <c r="E70" s="31"/>
      <c r="F70" s="31"/>
      <c r="G70" s="31"/>
      <c r="I70" s="31"/>
      <c r="J70" s="31"/>
      <c r="K70" s="31"/>
    </row>
    <row r="71" spans="2:11">
      <c r="B71" s="31"/>
      <c r="C71" s="31"/>
      <c r="D71" s="31"/>
      <c r="E71" s="31"/>
      <c r="F71" s="31"/>
      <c r="G71" s="31"/>
      <c r="I71" s="31"/>
      <c r="J71" s="31"/>
      <c r="K71" s="31"/>
    </row>
    <row r="72" spans="2:11">
      <c r="B72" s="31"/>
      <c r="C72" s="31"/>
      <c r="D72" s="31"/>
      <c r="E72" s="31"/>
      <c r="F72" s="31"/>
      <c r="G72" s="31"/>
      <c r="I72" s="31"/>
      <c r="J72" s="31"/>
      <c r="K72" s="31"/>
    </row>
    <row r="73" spans="2:11">
      <c r="B73" s="31"/>
      <c r="C73" s="31"/>
      <c r="D73" s="31"/>
      <c r="E73" s="31"/>
      <c r="F73" s="31"/>
      <c r="G73" s="31"/>
      <c r="I73" s="31"/>
      <c r="J73" s="31"/>
      <c r="K73" s="31"/>
    </row>
    <row r="74" spans="2:11">
      <c r="B74" s="31"/>
      <c r="C74" s="31"/>
      <c r="D74" s="31"/>
      <c r="E74" s="31"/>
      <c r="F74" s="31"/>
      <c r="G74" s="31"/>
      <c r="I74" s="31"/>
      <c r="J74" s="31"/>
      <c r="K74" s="31"/>
    </row>
    <row r="75" spans="2:11">
      <c r="B75" s="31"/>
      <c r="C75" s="31"/>
      <c r="D75" s="31"/>
      <c r="E75" s="31"/>
      <c r="F75" s="31"/>
      <c r="G75" s="31"/>
      <c r="I75" s="31"/>
      <c r="J75" s="31"/>
      <c r="K75" s="31"/>
    </row>
    <row r="76" spans="2:11">
      <c r="B76" s="31"/>
      <c r="C76" s="31"/>
      <c r="D76" s="31"/>
      <c r="E76" s="31"/>
      <c r="F76" s="31"/>
      <c r="G76" s="31"/>
      <c r="I76" s="31"/>
      <c r="J76" s="31"/>
      <c r="K76" s="31"/>
    </row>
    <row r="77" spans="2:11">
      <c r="B77" s="31"/>
      <c r="C77" s="31"/>
      <c r="D77" s="31"/>
      <c r="E77" s="31"/>
      <c r="F77" s="31"/>
      <c r="G77" s="31"/>
      <c r="I77" s="31"/>
      <c r="J77" s="31"/>
      <c r="K77" s="31"/>
    </row>
    <row r="78" spans="2:11">
      <c r="B78" s="31"/>
      <c r="C78" s="31"/>
      <c r="D78" s="31"/>
      <c r="E78" s="31"/>
      <c r="F78" s="31"/>
      <c r="G78" s="31"/>
      <c r="I78" s="31"/>
      <c r="J78" s="31"/>
      <c r="K78" s="31"/>
    </row>
    <row r="79" spans="2:11">
      <c r="B79" s="31"/>
      <c r="C79" s="31"/>
      <c r="D79" s="31"/>
      <c r="E79" s="31"/>
      <c r="F79" s="31"/>
      <c r="G79" s="31"/>
      <c r="I79" s="31"/>
      <c r="J79" s="31"/>
      <c r="K79" s="31"/>
    </row>
    <row r="80" spans="2:11">
      <c r="B80" s="31"/>
      <c r="C80" s="31"/>
      <c r="D80" s="31"/>
      <c r="E80" s="31"/>
      <c r="F80" s="31"/>
      <c r="G80" s="31"/>
      <c r="I80" s="31"/>
      <c r="J80" s="31"/>
      <c r="K80" s="31"/>
    </row>
    <row r="81" spans="2:11">
      <c r="B81" s="31"/>
      <c r="C81" s="31"/>
      <c r="D81" s="31"/>
      <c r="E81" s="31"/>
      <c r="F81" s="31"/>
      <c r="G81" s="31"/>
      <c r="I81" s="31"/>
      <c r="J81" s="31"/>
      <c r="K81" s="31"/>
    </row>
    <row r="82" spans="2:11">
      <c r="B82" s="31"/>
      <c r="C82" s="31"/>
      <c r="D82" s="31"/>
      <c r="E82" s="31"/>
      <c r="F82" s="31"/>
      <c r="G82" s="31"/>
      <c r="I82" s="31"/>
      <c r="J82" s="31"/>
      <c r="K82" s="31"/>
    </row>
    <row r="83" spans="2:11">
      <c r="B83" s="31"/>
      <c r="C83" s="31"/>
      <c r="D83" s="31"/>
      <c r="E83" s="31"/>
      <c r="F83" s="31"/>
      <c r="G83" s="31"/>
      <c r="I83" s="31"/>
      <c r="J83" s="31"/>
      <c r="K83" s="31"/>
    </row>
    <row r="84" spans="2:11">
      <c r="B84" s="31"/>
      <c r="C84" s="31"/>
      <c r="D84" s="31"/>
      <c r="E84" s="31"/>
      <c r="F84" s="31"/>
      <c r="G84" s="31"/>
      <c r="I84" s="31"/>
      <c r="J84" s="31"/>
      <c r="K84" s="31"/>
    </row>
    <row r="85" spans="2:11">
      <c r="B85" s="31"/>
      <c r="C85" s="31"/>
      <c r="D85" s="31"/>
      <c r="E85" s="31"/>
      <c r="F85" s="31"/>
      <c r="G85" s="31"/>
      <c r="I85" s="31"/>
      <c r="J85" s="31"/>
      <c r="K85" s="31"/>
    </row>
    <row r="86" spans="2:11">
      <c r="B86" s="31"/>
      <c r="C86" s="31"/>
      <c r="D86" s="31"/>
      <c r="E86" s="31"/>
      <c r="F86" s="31"/>
      <c r="G86" s="31"/>
      <c r="I86" s="31"/>
      <c r="J86" s="31"/>
      <c r="K86" s="31"/>
    </row>
    <row r="87" spans="2:11">
      <c r="B87" s="31"/>
      <c r="C87" s="31"/>
      <c r="D87" s="31"/>
      <c r="E87" s="31"/>
      <c r="F87" s="31"/>
      <c r="G87" s="31"/>
      <c r="I87" s="31"/>
      <c r="J87" s="31"/>
      <c r="K87" s="31"/>
    </row>
    <row r="88" spans="2:11">
      <c r="B88" s="31"/>
      <c r="C88" s="31"/>
      <c r="D88" s="31"/>
      <c r="E88" s="31"/>
      <c r="F88" s="31"/>
      <c r="G88" s="31"/>
      <c r="I88" s="31"/>
      <c r="J88" s="31"/>
      <c r="K88" s="31"/>
    </row>
    <row r="89" spans="2:11">
      <c r="B89" s="31"/>
      <c r="C89" s="31"/>
      <c r="D89" s="31"/>
      <c r="E89" s="31"/>
      <c r="F89" s="31"/>
      <c r="G89" s="31"/>
      <c r="I89" s="31"/>
      <c r="J89" s="31"/>
      <c r="K89" s="31"/>
    </row>
    <row r="90" spans="2:11">
      <c r="B90" s="31"/>
      <c r="C90" s="31"/>
      <c r="D90" s="31"/>
      <c r="E90" s="31"/>
      <c r="F90" s="31"/>
      <c r="G90" s="31"/>
      <c r="I90" s="31"/>
      <c r="J90" s="31"/>
      <c r="K90" s="31"/>
    </row>
    <row r="91" spans="2:11">
      <c r="B91" s="31"/>
      <c r="C91" s="31"/>
      <c r="D91" s="31"/>
      <c r="E91" s="31"/>
      <c r="F91" s="31"/>
      <c r="G91" s="31"/>
      <c r="I91" s="31"/>
      <c r="J91" s="31"/>
      <c r="K91" s="31"/>
    </row>
    <row r="92" spans="2:11">
      <c r="B92" s="31"/>
      <c r="C92" s="31"/>
      <c r="D92" s="31"/>
      <c r="E92" s="31"/>
      <c r="F92" s="31"/>
      <c r="G92" s="31"/>
      <c r="I92" s="31"/>
      <c r="J92" s="31"/>
      <c r="K92" s="31"/>
    </row>
    <row r="93" spans="2:11">
      <c r="B93" s="31"/>
      <c r="C93" s="31"/>
      <c r="D93" s="31"/>
      <c r="E93" s="31"/>
      <c r="F93" s="31"/>
      <c r="G93" s="31"/>
      <c r="I93" s="31"/>
      <c r="J93" s="31"/>
      <c r="K93" s="31"/>
    </row>
    <row r="94" spans="2:11">
      <c r="B94" s="31"/>
      <c r="C94" s="31"/>
      <c r="D94" s="31"/>
      <c r="E94" s="31"/>
      <c r="F94" s="31"/>
      <c r="G94" s="31"/>
      <c r="I94" s="31"/>
      <c r="J94" s="31"/>
      <c r="K94" s="31"/>
    </row>
    <row r="95" spans="2:11">
      <c r="B95" s="31"/>
      <c r="C95" s="31"/>
      <c r="D95" s="31"/>
      <c r="E95" s="31"/>
      <c r="F95" s="31"/>
      <c r="G95" s="31"/>
      <c r="I95" s="31"/>
      <c r="J95" s="31"/>
      <c r="K95" s="31"/>
    </row>
    <row r="96" spans="2:11">
      <c r="B96" s="31"/>
      <c r="C96" s="31"/>
      <c r="D96" s="31"/>
      <c r="E96" s="31"/>
      <c r="F96" s="31"/>
      <c r="G96" s="31"/>
      <c r="I96" s="31"/>
      <c r="J96" s="31"/>
      <c r="K96" s="31"/>
    </row>
    <row r="97" spans="2:11">
      <c r="B97" s="31"/>
      <c r="C97" s="31"/>
      <c r="D97" s="31"/>
      <c r="E97" s="31"/>
      <c r="F97" s="31"/>
      <c r="G97" s="31"/>
      <c r="I97" s="31"/>
      <c r="J97" s="31"/>
      <c r="K97" s="31"/>
    </row>
    <row r="98" spans="2:11">
      <c r="B98" s="31"/>
      <c r="C98" s="31"/>
      <c r="D98" s="31"/>
      <c r="E98" s="31"/>
      <c r="F98" s="31"/>
      <c r="G98" s="31"/>
      <c r="I98" s="31"/>
      <c r="J98" s="31"/>
      <c r="K98" s="31"/>
    </row>
    <row r="99" spans="2:11">
      <c r="B99" s="31"/>
      <c r="C99" s="31"/>
      <c r="D99" s="31"/>
      <c r="E99" s="31"/>
      <c r="F99" s="31"/>
      <c r="G99" s="31"/>
      <c r="I99" s="31"/>
      <c r="J99" s="31"/>
      <c r="K99" s="31"/>
    </row>
    <row r="100" spans="2:11">
      <c r="B100" s="31"/>
      <c r="C100" s="31"/>
      <c r="D100" s="31"/>
      <c r="E100" s="31"/>
      <c r="F100" s="31"/>
      <c r="G100" s="31"/>
      <c r="I100" s="31"/>
      <c r="J100" s="31"/>
      <c r="K100" s="31"/>
    </row>
    <row r="101" spans="2:11">
      <c r="B101" s="31"/>
      <c r="C101" s="31"/>
      <c r="D101" s="31"/>
      <c r="E101" s="31"/>
      <c r="F101" s="31"/>
      <c r="G101" s="31"/>
      <c r="I101" s="31"/>
      <c r="J101" s="31"/>
      <c r="K101" s="31"/>
    </row>
    <row r="102" spans="2:11">
      <c r="B102" s="31"/>
      <c r="C102" s="31"/>
      <c r="D102" s="31"/>
      <c r="E102" s="31"/>
      <c r="F102" s="31"/>
      <c r="G102" s="31"/>
      <c r="I102" s="31"/>
      <c r="J102" s="31"/>
      <c r="K102" s="31"/>
    </row>
    <row r="103" spans="2:11">
      <c r="B103" s="31"/>
      <c r="C103" s="31"/>
      <c r="D103" s="31"/>
      <c r="E103" s="31"/>
      <c r="F103" s="31"/>
      <c r="G103" s="31"/>
      <c r="I103" s="31"/>
      <c r="J103" s="31"/>
      <c r="K103" s="31"/>
    </row>
    <row r="104" spans="2:11">
      <c r="B104" s="31"/>
      <c r="C104" s="31"/>
      <c r="D104" s="31"/>
      <c r="E104" s="31"/>
      <c r="F104" s="31"/>
      <c r="G104" s="31"/>
      <c r="I104" s="31"/>
      <c r="J104" s="31"/>
      <c r="K104" s="31"/>
    </row>
    <row r="105" spans="2:11">
      <c r="B105" s="31"/>
      <c r="C105" s="31"/>
      <c r="D105" s="31"/>
      <c r="E105" s="31"/>
      <c r="F105" s="31"/>
      <c r="G105" s="31"/>
      <c r="I105" s="31"/>
      <c r="J105" s="31"/>
      <c r="K105" s="31"/>
    </row>
    <row r="106" spans="2:11">
      <c r="B106" s="31"/>
      <c r="C106" s="31"/>
      <c r="D106" s="31"/>
      <c r="E106" s="31"/>
      <c r="F106" s="31"/>
      <c r="G106" s="31"/>
      <c r="I106" s="31"/>
      <c r="J106" s="31"/>
      <c r="K106" s="31"/>
    </row>
    <row r="107" spans="2:11">
      <c r="B107" s="31"/>
      <c r="C107" s="31"/>
      <c r="D107" s="31"/>
      <c r="E107" s="31"/>
      <c r="F107" s="31"/>
      <c r="G107" s="31"/>
      <c r="I107" s="31"/>
      <c r="J107" s="31"/>
      <c r="K107" s="31"/>
    </row>
    <row r="108" spans="2:11">
      <c r="B108" s="31"/>
      <c r="C108" s="31"/>
      <c r="D108" s="31"/>
      <c r="E108" s="31"/>
      <c r="F108" s="31"/>
      <c r="G108" s="31"/>
      <c r="I108" s="31"/>
      <c r="J108" s="31"/>
      <c r="K108" s="31"/>
    </row>
    <row r="109" spans="2:11">
      <c r="B109" s="31"/>
      <c r="C109" s="31"/>
      <c r="D109" s="31"/>
      <c r="E109" s="31"/>
      <c r="F109" s="31"/>
      <c r="G109" s="31"/>
      <c r="I109" s="31"/>
      <c r="J109" s="31"/>
      <c r="K109" s="31"/>
    </row>
    <row r="110" spans="2:11">
      <c r="B110" s="31"/>
      <c r="C110" s="31"/>
      <c r="D110" s="31"/>
      <c r="E110" s="31"/>
      <c r="F110" s="31"/>
      <c r="G110" s="31"/>
      <c r="I110" s="31"/>
      <c r="J110" s="31"/>
      <c r="K110" s="31"/>
    </row>
    <row r="111" spans="2:11">
      <c r="B111" s="31"/>
      <c r="C111" s="31"/>
      <c r="D111" s="31"/>
      <c r="E111" s="31"/>
      <c r="F111" s="31"/>
      <c r="G111" s="31"/>
      <c r="I111" s="31"/>
      <c r="J111" s="31"/>
      <c r="K111" s="31"/>
    </row>
    <row r="112" spans="2:11">
      <c r="B112" s="31"/>
      <c r="C112" s="31"/>
      <c r="D112" s="31"/>
      <c r="E112" s="31"/>
      <c r="F112" s="31"/>
      <c r="G112" s="31"/>
      <c r="I112" s="31"/>
      <c r="J112" s="31"/>
      <c r="K112" s="31"/>
    </row>
    <row r="113" spans="2:11">
      <c r="B113" s="31"/>
      <c r="C113" s="31"/>
      <c r="D113" s="31"/>
      <c r="E113" s="31"/>
      <c r="F113" s="31"/>
      <c r="G113" s="31"/>
      <c r="I113" s="31"/>
      <c r="J113" s="31"/>
      <c r="K113" s="31"/>
    </row>
    <row r="114" spans="2:11">
      <c r="B114" s="31"/>
      <c r="C114" s="31"/>
      <c r="D114" s="31"/>
      <c r="E114" s="31"/>
      <c r="F114" s="31"/>
      <c r="G114" s="31"/>
      <c r="I114" s="31"/>
      <c r="J114" s="31"/>
      <c r="K114" s="31"/>
    </row>
    <row r="115" spans="2:11">
      <c r="B115" s="31"/>
      <c r="C115" s="31"/>
      <c r="D115" s="31"/>
      <c r="E115" s="31"/>
      <c r="F115" s="31"/>
      <c r="G115" s="31"/>
      <c r="I115" s="31"/>
      <c r="J115" s="31"/>
      <c r="K115" s="31"/>
    </row>
    <row r="116" spans="2:11">
      <c r="B116" s="31"/>
      <c r="C116" s="31"/>
      <c r="D116" s="31"/>
      <c r="E116" s="31"/>
      <c r="F116" s="31"/>
      <c r="G116" s="31"/>
      <c r="I116" s="31"/>
      <c r="J116" s="31"/>
      <c r="K116" s="31"/>
    </row>
    <row r="117" spans="2:11">
      <c r="B117" s="31"/>
      <c r="C117" s="31"/>
      <c r="D117" s="31"/>
      <c r="E117" s="31"/>
      <c r="F117" s="31"/>
      <c r="G117" s="31"/>
      <c r="I117" s="31"/>
      <c r="J117" s="31"/>
      <c r="K117" s="31"/>
    </row>
    <row r="118" spans="2:11">
      <c r="B118" s="31"/>
      <c r="C118" s="31"/>
      <c r="D118" s="31"/>
      <c r="E118" s="31"/>
      <c r="F118" s="31"/>
      <c r="G118" s="31"/>
      <c r="I118" s="31"/>
      <c r="J118" s="31"/>
      <c r="K118" s="31"/>
    </row>
    <row r="119" spans="2:11">
      <c r="B119" s="31"/>
      <c r="C119" s="31"/>
      <c r="D119" s="31"/>
      <c r="E119" s="31"/>
      <c r="F119" s="31"/>
      <c r="G119" s="31"/>
      <c r="I119" s="31"/>
      <c r="J119" s="31"/>
      <c r="K119" s="31"/>
    </row>
    <row r="120" spans="2:11">
      <c r="B120" s="31"/>
      <c r="C120" s="31"/>
      <c r="D120" s="31"/>
      <c r="E120" s="31"/>
      <c r="F120" s="31"/>
      <c r="G120" s="31"/>
      <c r="I120" s="31"/>
      <c r="J120" s="31"/>
      <c r="K120" s="31"/>
    </row>
    <row r="121" spans="2:11">
      <c r="B121" s="31"/>
      <c r="C121" s="31"/>
      <c r="D121" s="31"/>
      <c r="E121" s="31"/>
      <c r="F121" s="31"/>
      <c r="G121" s="31"/>
      <c r="I121" s="31"/>
      <c r="J121" s="31"/>
      <c r="K121" s="31"/>
    </row>
    <row r="122" spans="2:11">
      <c r="B122" s="31"/>
      <c r="C122" s="31"/>
      <c r="D122" s="31"/>
      <c r="E122" s="31"/>
      <c r="F122" s="31"/>
      <c r="G122" s="31"/>
      <c r="I122" s="31"/>
      <c r="J122" s="31"/>
      <c r="K122" s="31"/>
    </row>
    <row r="123" spans="2:11">
      <c r="B123" s="31"/>
      <c r="C123" s="31"/>
      <c r="D123" s="31"/>
      <c r="E123" s="31"/>
      <c r="F123" s="31"/>
      <c r="G123" s="31"/>
      <c r="I123" s="31"/>
      <c r="J123" s="31"/>
      <c r="K123" s="31"/>
    </row>
    <row r="124" spans="2:11">
      <c r="B124" s="31"/>
      <c r="C124" s="31"/>
      <c r="D124" s="31"/>
      <c r="E124" s="31"/>
      <c r="F124" s="31"/>
      <c r="G124" s="31"/>
      <c r="I124" s="31"/>
      <c r="J124" s="31"/>
      <c r="K124" s="31"/>
    </row>
    <row r="125" spans="2:11">
      <c r="B125" s="31"/>
      <c r="C125" s="31"/>
      <c r="D125" s="31"/>
      <c r="E125" s="31"/>
      <c r="F125" s="31"/>
      <c r="G125" s="31"/>
      <c r="I125" s="31"/>
      <c r="J125" s="31"/>
      <c r="K125" s="31"/>
    </row>
    <row r="126" spans="2:11">
      <c r="B126" s="31"/>
      <c r="C126" s="31"/>
      <c r="D126" s="31"/>
      <c r="E126" s="31"/>
      <c r="F126" s="31"/>
      <c r="G126" s="31"/>
      <c r="I126" s="31"/>
      <c r="J126" s="31"/>
      <c r="K126" s="31"/>
    </row>
    <row r="127" spans="2:11">
      <c r="B127" s="31"/>
      <c r="C127" s="31"/>
      <c r="D127" s="31"/>
      <c r="E127" s="31"/>
      <c r="F127" s="31"/>
      <c r="G127" s="31"/>
      <c r="I127" s="31"/>
      <c r="J127" s="31"/>
      <c r="K127" s="31"/>
    </row>
    <row r="128" spans="2:11">
      <c r="B128" s="31"/>
      <c r="C128" s="31"/>
      <c r="D128" s="31"/>
      <c r="E128" s="31"/>
      <c r="F128" s="31"/>
      <c r="G128" s="31"/>
      <c r="I128" s="31"/>
      <c r="J128" s="31"/>
      <c r="K128" s="31"/>
    </row>
    <row r="129" spans="2:11">
      <c r="B129" s="31"/>
      <c r="C129" s="31"/>
      <c r="D129" s="31"/>
      <c r="E129" s="31"/>
      <c r="F129" s="31"/>
      <c r="G129" s="31"/>
      <c r="I129" s="31"/>
      <c r="J129" s="31"/>
      <c r="K129" s="31"/>
    </row>
    <row r="130" spans="2:11">
      <c r="B130" s="31"/>
      <c r="C130" s="31"/>
      <c r="D130" s="31"/>
      <c r="E130" s="31"/>
      <c r="F130" s="31"/>
      <c r="G130" s="31"/>
      <c r="I130" s="31"/>
      <c r="J130" s="31"/>
      <c r="K130" s="31"/>
    </row>
    <row r="131" spans="2:11">
      <c r="B131" s="31"/>
      <c r="C131" s="31"/>
      <c r="D131" s="31"/>
      <c r="E131" s="31"/>
      <c r="F131" s="31"/>
      <c r="G131" s="31"/>
      <c r="I131" s="31"/>
      <c r="J131" s="31"/>
      <c r="K131" s="31"/>
    </row>
    <row r="132" spans="2:11">
      <c r="B132" s="31"/>
      <c r="C132" s="31"/>
      <c r="D132" s="31"/>
      <c r="E132" s="31"/>
      <c r="F132" s="31"/>
      <c r="G132" s="31"/>
      <c r="I132" s="31"/>
      <c r="J132" s="31"/>
      <c r="K132" s="31"/>
    </row>
    <row r="133" spans="2:11">
      <c r="B133" s="31"/>
      <c r="C133" s="31"/>
      <c r="D133" s="31"/>
      <c r="E133" s="31"/>
      <c r="F133" s="31"/>
      <c r="G133" s="31"/>
      <c r="I133" s="31"/>
      <c r="J133" s="31"/>
      <c r="K133" s="31"/>
    </row>
    <row r="134" spans="2:11">
      <c r="B134" s="31"/>
      <c r="C134" s="31"/>
      <c r="D134" s="31"/>
      <c r="E134" s="31"/>
      <c r="F134" s="31"/>
      <c r="G134" s="31"/>
      <c r="I134" s="31"/>
      <c r="J134" s="31"/>
      <c r="K134" s="31"/>
    </row>
    <row r="135" spans="2:11">
      <c r="B135" s="31"/>
      <c r="C135" s="31"/>
      <c r="D135" s="31"/>
      <c r="E135" s="31"/>
      <c r="F135" s="31"/>
      <c r="G135" s="31"/>
      <c r="I135" s="31"/>
      <c r="J135" s="31"/>
      <c r="K135" s="31"/>
    </row>
    <row r="136" spans="2:11">
      <c r="B136" s="31"/>
      <c r="C136" s="31"/>
      <c r="D136" s="31"/>
      <c r="E136" s="31"/>
      <c r="F136" s="31"/>
      <c r="G136" s="31"/>
      <c r="I136" s="31"/>
      <c r="J136" s="31"/>
      <c r="K136" s="31"/>
    </row>
    <row r="137" spans="2:11">
      <c r="B137" s="31"/>
      <c r="C137" s="31"/>
      <c r="D137" s="31"/>
      <c r="E137" s="31"/>
      <c r="F137" s="31"/>
      <c r="G137" s="31"/>
      <c r="I137" s="31"/>
      <c r="J137" s="31"/>
      <c r="K137" s="31"/>
    </row>
    <row r="138" spans="2:11">
      <c r="B138" s="31"/>
      <c r="C138" s="31"/>
      <c r="D138" s="31"/>
      <c r="E138" s="31"/>
      <c r="F138" s="31"/>
      <c r="G138" s="31"/>
      <c r="I138" s="31"/>
      <c r="J138" s="31"/>
      <c r="K138" s="31"/>
    </row>
    <row r="139" spans="2:11">
      <c r="B139" s="31"/>
      <c r="C139" s="31"/>
      <c r="D139" s="31"/>
      <c r="E139" s="31"/>
      <c r="F139" s="31"/>
      <c r="G139" s="31"/>
      <c r="I139" s="31"/>
      <c r="J139" s="31"/>
      <c r="K139" s="31"/>
    </row>
    <row r="140" spans="2:11">
      <c r="B140" s="31"/>
      <c r="C140" s="31"/>
      <c r="D140" s="31"/>
      <c r="E140" s="31"/>
      <c r="F140" s="31"/>
      <c r="G140" s="31"/>
      <c r="I140" s="31"/>
      <c r="J140" s="31"/>
      <c r="K140" s="31"/>
    </row>
    <row r="141" spans="2:11">
      <c r="B141" s="31"/>
      <c r="C141" s="31"/>
      <c r="D141" s="31"/>
      <c r="E141" s="31"/>
      <c r="F141" s="31"/>
      <c r="G141" s="31"/>
      <c r="I141" s="31"/>
      <c r="J141" s="31"/>
      <c r="K141" s="31"/>
    </row>
    <row r="142" spans="2:11">
      <c r="B142" s="31"/>
      <c r="C142" s="31"/>
      <c r="D142" s="31"/>
      <c r="E142" s="31"/>
      <c r="F142" s="31"/>
      <c r="G142" s="31"/>
      <c r="I142" s="31"/>
      <c r="J142" s="31"/>
      <c r="K142" s="31"/>
    </row>
    <row r="143" spans="2:11">
      <c r="B143" s="31"/>
      <c r="C143" s="31"/>
      <c r="D143" s="31"/>
      <c r="E143" s="31"/>
      <c r="F143" s="31"/>
      <c r="G143" s="31"/>
      <c r="I143" s="31"/>
      <c r="J143" s="31"/>
      <c r="K143" s="31"/>
    </row>
    <row r="144" spans="2:11">
      <c r="B144" s="31"/>
      <c r="C144" s="31"/>
      <c r="D144" s="31"/>
      <c r="E144" s="31"/>
      <c r="F144" s="31"/>
      <c r="G144" s="31"/>
      <c r="I144" s="31"/>
      <c r="J144" s="31"/>
      <c r="K144" s="31"/>
    </row>
    <row r="145" spans="2:11">
      <c r="B145" s="31"/>
      <c r="C145" s="31"/>
      <c r="D145" s="31"/>
      <c r="E145" s="31"/>
      <c r="F145" s="31"/>
      <c r="G145" s="31"/>
      <c r="I145" s="31"/>
      <c r="J145" s="31"/>
      <c r="K145" s="31"/>
    </row>
    <row r="146" spans="2:11">
      <c r="B146" s="31"/>
      <c r="C146" s="31"/>
      <c r="D146" s="31"/>
      <c r="E146" s="31"/>
      <c r="F146" s="31"/>
      <c r="G146" s="31"/>
      <c r="I146" s="31"/>
      <c r="J146" s="31"/>
      <c r="K146" s="31"/>
    </row>
    <row r="147" spans="2:11">
      <c r="B147" s="31"/>
      <c r="C147" s="31"/>
      <c r="D147" s="31"/>
      <c r="E147" s="31"/>
      <c r="F147" s="31"/>
      <c r="G147" s="31"/>
      <c r="I147" s="31"/>
      <c r="J147" s="31"/>
      <c r="K147" s="31"/>
    </row>
    <row r="148" spans="2:11">
      <c r="B148" s="31"/>
      <c r="C148" s="31"/>
      <c r="D148" s="31"/>
      <c r="E148" s="31"/>
      <c r="F148" s="31"/>
      <c r="G148" s="31"/>
      <c r="I148" s="31"/>
      <c r="J148" s="31"/>
      <c r="K148" s="31"/>
    </row>
    <row r="149" spans="2:11">
      <c r="B149" s="31"/>
      <c r="C149" s="31"/>
      <c r="D149" s="31"/>
      <c r="E149" s="31"/>
      <c r="F149" s="31"/>
      <c r="G149" s="31"/>
      <c r="I149" s="31"/>
      <c r="J149" s="31"/>
      <c r="K149" s="31"/>
    </row>
    <row r="150" spans="2:11">
      <c r="B150" s="31"/>
      <c r="C150" s="31"/>
      <c r="D150" s="31"/>
      <c r="E150" s="31"/>
      <c r="F150" s="31"/>
      <c r="G150" s="31"/>
      <c r="I150" s="31"/>
      <c r="J150" s="31"/>
      <c r="K150" s="31"/>
    </row>
    <row r="151" spans="2:11">
      <c r="B151" s="31"/>
      <c r="C151" s="31"/>
      <c r="D151" s="31"/>
      <c r="E151" s="31"/>
      <c r="F151" s="31"/>
      <c r="G151" s="31"/>
      <c r="I151" s="31"/>
      <c r="J151" s="31"/>
      <c r="K151" s="31"/>
    </row>
    <row r="152" spans="2:11">
      <c r="B152" s="31"/>
      <c r="C152" s="31"/>
      <c r="D152" s="31"/>
      <c r="E152" s="31"/>
      <c r="F152" s="31"/>
      <c r="G152" s="31"/>
      <c r="I152" s="31"/>
      <c r="J152" s="31"/>
      <c r="K152" s="31"/>
    </row>
    <row r="153" spans="2:11">
      <c r="B153" s="31"/>
      <c r="C153" s="31"/>
      <c r="D153" s="31"/>
      <c r="E153" s="31"/>
      <c r="F153" s="31"/>
      <c r="G153" s="31"/>
      <c r="I153" s="31"/>
      <c r="J153" s="31"/>
      <c r="K153" s="31"/>
    </row>
    <row r="154" spans="2:11">
      <c r="B154" s="31"/>
      <c r="C154" s="31"/>
      <c r="D154" s="31"/>
      <c r="E154" s="31"/>
      <c r="F154" s="31"/>
      <c r="G154" s="31"/>
      <c r="I154" s="31"/>
      <c r="J154" s="31"/>
      <c r="K154" s="31"/>
    </row>
    <row r="155" spans="2:11">
      <c r="B155" s="31"/>
      <c r="C155" s="31"/>
      <c r="D155" s="31"/>
      <c r="E155" s="31"/>
      <c r="F155" s="31"/>
      <c r="G155" s="31"/>
      <c r="I155" s="31"/>
      <c r="J155" s="31"/>
      <c r="K155" s="31"/>
    </row>
    <row r="156" spans="2:11">
      <c r="B156" s="31"/>
      <c r="C156" s="31"/>
      <c r="D156" s="31"/>
      <c r="E156" s="31"/>
      <c r="F156" s="31"/>
      <c r="G156" s="31"/>
      <c r="I156" s="31"/>
      <c r="J156" s="31"/>
      <c r="K156" s="31"/>
    </row>
    <row r="157" spans="2:11">
      <c r="B157" s="31"/>
      <c r="C157" s="31"/>
      <c r="D157" s="31"/>
      <c r="E157" s="31"/>
      <c r="F157" s="31"/>
      <c r="G157" s="31"/>
      <c r="I157" s="31"/>
      <c r="J157" s="31"/>
      <c r="K157" s="31"/>
    </row>
    <row r="158" spans="2:11">
      <c r="B158" s="31"/>
      <c r="C158" s="31"/>
      <c r="D158" s="31"/>
      <c r="E158" s="31"/>
      <c r="F158" s="31"/>
      <c r="G158" s="31"/>
      <c r="I158" s="31"/>
      <c r="J158" s="31"/>
      <c r="K158" s="31"/>
    </row>
    <row r="159" spans="2:11">
      <c r="B159" s="31"/>
      <c r="C159" s="31"/>
      <c r="D159" s="31"/>
      <c r="E159" s="31"/>
      <c r="F159" s="31"/>
      <c r="G159" s="31"/>
      <c r="I159" s="31"/>
      <c r="J159" s="31"/>
      <c r="K159" s="31"/>
    </row>
    <row r="160" spans="2:11">
      <c r="B160" s="31"/>
      <c r="C160" s="31"/>
      <c r="D160" s="31"/>
      <c r="E160" s="31"/>
      <c r="F160" s="31"/>
      <c r="G160" s="31"/>
      <c r="I160" s="31"/>
      <c r="J160" s="31"/>
      <c r="K160" s="31"/>
    </row>
    <row r="161" spans="2:11">
      <c r="B161" s="31"/>
      <c r="C161" s="31"/>
      <c r="D161" s="31"/>
      <c r="E161" s="31"/>
      <c r="F161" s="31"/>
      <c r="G161" s="31"/>
      <c r="I161" s="31"/>
      <c r="J161" s="31"/>
      <c r="K161" s="31"/>
    </row>
    <row r="162" spans="2:11">
      <c r="B162" s="31"/>
      <c r="C162" s="31"/>
      <c r="D162" s="31"/>
      <c r="E162" s="31"/>
      <c r="F162" s="31"/>
      <c r="G162" s="31"/>
      <c r="I162" s="31"/>
      <c r="J162" s="31"/>
      <c r="K162" s="31"/>
    </row>
    <row r="163" spans="2:11">
      <c r="B163" s="31"/>
      <c r="C163" s="31"/>
      <c r="D163" s="31"/>
      <c r="E163" s="31"/>
      <c r="F163" s="31"/>
      <c r="G163" s="31"/>
      <c r="I163" s="31"/>
      <c r="J163" s="31"/>
      <c r="K163" s="31"/>
    </row>
    <row r="164" spans="2:11">
      <c r="B164" s="31"/>
      <c r="C164" s="31"/>
      <c r="D164" s="31"/>
      <c r="E164" s="31"/>
      <c r="F164" s="31"/>
      <c r="G164" s="31"/>
      <c r="I164" s="31"/>
      <c r="J164" s="31"/>
      <c r="K164" s="31"/>
    </row>
    <row r="165" spans="2:11">
      <c r="B165" s="31"/>
      <c r="C165" s="31"/>
      <c r="D165" s="31"/>
      <c r="E165" s="31"/>
      <c r="F165" s="31"/>
      <c r="G165" s="31"/>
      <c r="I165" s="31"/>
      <c r="J165" s="31"/>
      <c r="K165" s="31"/>
    </row>
    <row r="166" spans="2:11">
      <c r="B166" s="31"/>
      <c r="C166" s="31"/>
      <c r="D166" s="31"/>
      <c r="E166" s="31"/>
      <c r="F166" s="31"/>
      <c r="G166" s="31"/>
      <c r="I166" s="31"/>
      <c r="J166" s="31"/>
      <c r="K166" s="31"/>
    </row>
    <row r="167" spans="2:11">
      <c r="B167" s="31"/>
      <c r="C167" s="31"/>
      <c r="D167" s="31"/>
      <c r="E167" s="31"/>
      <c r="F167" s="31"/>
      <c r="G167" s="31"/>
      <c r="I167" s="31"/>
      <c r="J167" s="31"/>
      <c r="K167" s="31"/>
    </row>
    <row r="168" spans="2:11">
      <c r="B168" s="31"/>
      <c r="C168" s="31"/>
      <c r="D168" s="31"/>
      <c r="E168" s="31"/>
      <c r="F168" s="31"/>
      <c r="G168" s="31"/>
      <c r="I168" s="31"/>
      <c r="J168" s="31"/>
      <c r="K168" s="31"/>
    </row>
    <row r="169" spans="2:11">
      <c r="B169" s="31"/>
      <c r="C169" s="31"/>
      <c r="D169" s="31"/>
      <c r="E169" s="31"/>
      <c r="F169" s="31"/>
      <c r="G169" s="31"/>
      <c r="I169" s="31"/>
      <c r="J169" s="31"/>
      <c r="K169" s="31"/>
    </row>
    <row r="170" spans="2:11">
      <c r="B170" s="31"/>
      <c r="C170" s="31"/>
      <c r="D170" s="31"/>
      <c r="E170" s="31"/>
      <c r="F170" s="31"/>
      <c r="G170" s="31"/>
      <c r="I170" s="31"/>
      <c r="J170" s="31"/>
      <c r="K170" s="31"/>
    </row>
    <row r="171" spans="2:11">
      <c r="B171" s="31"/>
      <c r="C171" s="31"/>
      <c r="D171" s="31"/>
      <c r="E171" s="31"/>
      <c r="F171" s="31"/>
      <c r="G171" s="31"/>
      <c r="I171" s="31"/>
      <c r="J171" s="31"/>
      <c r="K171" s="31"/>
    </row>
    <row r="172" spans="2:11">
      <c r="B172" s="31"/>
      <c r="C172" s="31"/>
      <c r="D172" s="31"/>
      <c r="E172" s="31"/>
      <c r="F172" s="31"/>
      <c r="G172" s="31"/>
      <c r="I172" s="31"/>
      <c r="J172" s="31"/>
      <c r="K172" s="31"/>
    </row>
    <row r="173" spans="2:11">
      <c r="B173" s="31"/>
      <c r="C173" s="31"/>
      <c r="D173" s="31"/>
      <c r="E173" s="31"/>
      <c r="F173" s="31"/>
      <c r="G173" s="31"/>
      <c r="I173" s="31"/>
      <c r="J173" s="31"/>
      <c r="K173" s="31"/>
    </row>
    <row r="174" spans="2:11">
      <c r="B174" s="31"/>
      <c r="C174" s="31"/>
      <c r="D174" s="31"/>
      <c r="E174" s="31"/>
      <c r="F174" s="31"/>
      <c r="G174" s="31"/>
      <c r="I174" s="31"/>
      <c r="J174" s="31"/>
      <c r="K174" s="31"/>
    </row>
    <row r="175" spans="2:11">
      <c r="B175" s="31"/>
      <c r="C175" s="31"/>
      <c r="D175" s="31"/>
      <c r="E175" s="31"/>
      <c r="F175" s="31"/>
      <c r="G175" s="31"/>
      <c r="I175" s="31"/>
      <c r="J175" s="31"/>
      <c r="K175" s="31"/>
    </row>
    <row r="176" spans="2:11">
      <c r="B176" s="31"/>
      <c r="C176" s="31"/>
      <c r="D176" s="31"/>
      <c r="E176" s="31"/>
      <c r="F176" s="31"/>
      <c r="G176" s="31"/>
      <c r="I176" s="31"/>
      <c r="J176" s="31"/>
      <c r="K176" s="31"/>
    </row>
    <row r="177" spans="2:11">
      <c r="B177" s="31"/>
      <c r="C177" s="31"/>
      <c r="D177" s="31"/>
      <c r="E177" s="31"/>
      <c r="F177" s="31"/>
      <c r="G177" s="31"/>
      <c r="I177" s="31"/>
      <c r="J177" s="31"/>
      <c r="K177" s="31"/>
    </row>
    <row r="178" spans="2:11">
      <c r="B178" s="31"/>
      <c r="C178" s="31"/>
      <c r="D178" s="31"/>
      <c r="E178" s="31"/>
      <c r="F178" s="31"/>
      <c r="G178" s="31"/>
      <c r="I178" s="31"/>
      <c r="J178" s="31"/>
      <c r="K178" s="31"/>
    </row>
    <row r="179" spans="2:11">
      <c r="B179" s="31"/>
      <c r="C179" s="31"/>
      <c r="D179" s="31"/>
      <c r="E179" s="31"/>
      <c r="F179" s="31"/>
      <c r="G179" s="31"/>
      <c r="I179" s="31"/>
      <c r="J179" s="31"/>
      <c r="K179" s="31"/>
    </row>
    <row r="180" spans="2:11">
      <c r="B180" s="31"/>
      <c r="C180" s="31"/>
      <c r="D180" s="31"/>
      <c r="E180" s="31"/>
      <c r="F180" s="31"/>
      <c r="G180" s="31"/>
      <c r="I180" s="31"/>
      <c r="J180" s="31"/>
      <c r="K180" s="31"/>
    </row>
    <row r="181" spans="2:11">
      <c r="B181" s="31"/>
      <c r="C181" s="31"/>
      <c r="D181" s="31"/>
      <c r="E181" s="31"/>
      <c r="F181" s="31"/>
      <c r="G181" s="31"/>
      <c r="I181" s="31"/>
      <c r="J181" s="31"/>
      <c r="K181" s="31"/>
    </row>
    <row r="182" spans="2:11">
      <c r="B182" s="31"/>
      <c r="C182" s="31"/>
      <c r="D182" s="31"/>
      <c r="E182" s="31"/>
      <c r="F182" s="31"/>
      <c r="G182" s="31"/>
      <c r="I182" s="31"/>
      <c r="J182" s="31"/>
      <c r="K182" s="31"/>
    </row>
    <row r="183" spans="2:11">
      <c r="B183" s="31"/>
      <c r="C183" s="31"/>
      <c r="D183" s="31"/>
      <c r="E183" s="31"/>
      <c r="F183" s="31"/>
      <c r="G183" s="31"/>
      <c r="I183" s="31"/>
      <c r="J183" s="31"/>
      <c r="K183" s="31"/>
    </row>
    <row r="184" spans="2:11">
      <c r="B184" s="31"/>
      <c r="C184" s="31"/>
      <c r="D184" s="31"/>
      <c r="E184" s="31"/>
      <c r="F184" s="31"/>
      <c r="G184" s="31"/>
      <c r="I184" s="31"/>
      <c r="J184" s="31"/>
      <c r="K184" s="31"/>
    </row>
    <row r="185" spans="2:11">
      <c r="B185" s="31"/>
      <c r="C185" s="31"/>
      <c r="D185" s="31"/>
      <c r="E185" s="31"/>
      <c r="F185" s="31"/>
      <c r="G185" s="31"/>
      <c r="I185" s="31"/>
      <c r="J185" s="31"/>
      <c r="K185" s="31"/>
    </row>
    <row r="186" spans="2:11">
      <c r="B186" s="31"/>
      <c r="C186" s="31"/>
      <c r="D186" s="31"/>
      <c r="E186" s="31"/>
      <c r="F186" s="31"/>
      <c r="G186" s="31"/>
      <c r="I186" s="31"/>
      <c r="J186" s="31"/>
      <c r="K186" s="31"/>
    </row>
    <row r="187" spans="2:11">
      <c r="B187" s="31"/>
      <c r="C187" s="31"/>
      <c r="D187" s="31"/>
      <c r="E187" s="31"/>
      <c r="F187" s="31"/>
      <c r="G187" s="31"/>
      <c r="I187" s="31"/>
      <c r="J187" s="31"/>
      <c r="K187" s="31"/>
    </row>
    <row r="188" spans="2:11">
      <c r="B188" s="31"/>
      <c r="C188" s="31"/>
      <c r="D188" s="31"/>
      <c r="E188" s="31"/>
      <c r="F188" s="31"/>
      <c r="G188" s="31"/>
      <c r="I188" s="31"/>
      <c r="J188" s="31"/>
      <c r="K188" s="31"/>
    </row>
    <row r="189" spans="2:11">
      <c r="B189" s="31"/>
      <c r="C189" s="31"/>
      <c r="D189" s="31"/>
      <c r="E189" s="31"/>
      <c r="F189" s="31"/>
      <c r="G189" s="31"/>
      <c r="I189" s="31"/>
      <c r="J189" s="31"/>
      <c r="K189" s="31"/>
    </row>
    <row r="190" spans="2:11">
      <c r="B190" s="31"/>
      <c r="C190" s="31"/>
      <c r="D190" s="31"/>
      <c r="E190" s="31"/>
      <c r="F190" s="31"/>
      <c r="G190" s="31"/>
      <c r="I190" s="31"/>
      <c r="J190" s="31"/>
      <c r="K190" s="31"/>
    </row>
    <row r="191" spans="2:11">
      <c r="B191" s="31"/>
      <c r="C191" s="31"/>
      <c r="D191" s="31"/>
      <c r="E191" s="31"/>
      <c r="F191" s="31"/>
      <c r="G191" s="31"/>
      <c r="I191" s="31"/>
      <c r="J191" s="31"/>
      <c r="K191" s="31"/>
    </row>
    <row r="192" spans="2:11">
      <c r="B192" s="31"/>
      <c r="C192" s="31"/>
      <c r="D192" s="31"/>
      <c r="E192" s="31"/>
      <c r="F192" s="31"/>
      <c r="G192" s="31"/>
      <c r="I192" s="31"/>
      <c r="J192" s="31"/>
      <c r="K192" s="31"/>
    </row>
    <row r="193" spans="2:11">
      <c r="B193" s="31"/>
      <c r="C193" s="31"/>
      <c r="D193" s="31"/>
      <c r="E193" s="31"/>
      <c r="F193" s="31"/>
      <c r="G193" s="31"/>
      <c r="I193" s="31"/>
      <c r="J193" s="31"/>
      <c r="K193" s="31"/>
    </row>
    <row r="194" spans="2:11">
      <c r="B194" s="31"/>
      <c r="C194" s="31"/>
      <c r="D194" s="31"/>
      <c r="E194" s="31"/>
      <c r="F194" s="31"/>
      <c r="G194" s="31"/>
      <c r="I194" s="31"/>
      <c r="J194" s="31"/>
      <c r="K194" s="31"/>
    </row>
    <row r="195" spans="2:11">
      <c r="B195" s="31"/>
      <c r="C195" s="31"/>
      <c r="D195" s="31"/>
      <c r="E195" s="31"/>
      <c r="F195" s="31"/>
      <c r="G195" s="31"/>
      <c r="I195" s="31"/>
      <c r="J195" s="31"/>
      <c r="K195" s="31"/>
    </row>
    <row r="196" spans="2:11">
      <c r="B196" s="31"/>
      <c r="C196" s="31"/>
      <c r="D196" s="31"/>
      <c r="E196" s="31"/>
      <c r="F196" s="31"/>
      <c r="G196" s="31"/>
      <c r="I196" s="31"/>
      <c r="J196" s="31"/>
      <c r="K196" s="31"/>
    </row>
    <row r="197" spans="2:11">
      <c r="B197" s="31"/>
      <c r="C197" s="31"/>
      <c r="D197" s="31"/>
      <c r="E197" s="31"/>
      <c r="F197" s="31"/>
      <c r="G197" s="31"/>
      <c r="I197" s="31"/>
      <c r="J197" s="31"/>
      <c r="K197" s="31"/>
    </row>
    <row r="198" spans="2:11">
      <c r="B198" s="31"/>
      <c r="C198" s="31"/>
      <c r="D198" s="31"/>
      <c r="E198" s="31"/>
      <c r="F198" s="31"/>
      <c r="G198" s="31"/>
      <c r="I198" s="31"/>
      <c r="J198" s="31"/>
      <c r="K198" s="31"/>
    </row>
    <row r="199" spans="2:11">
      <c r="B199" s="31"/>
      <c r="C199" s="31"/>
      <c r="D199" s="31"/>
      <c r="E199" s="31"/>
      <c r="F199" s="31"/>
      <c r="G199" s="31"/>
      <c r="I199" s="31"/>
      <c r="J199" s="31"/>
      <c r="K199" s="31"/>
    </row>
    <row r="200" spans="2:11">
      <c r="B200" s="31"/>
      <c r="C200" s="31"/>
      <c r="D200" s="31"/>
      <c r="E200" s="31"/>
      <c r="F200" s="31"/>
      <c r="G200" s="31"/>
      <c r="I200" s="31"/>
      <c r="J200" s="31"/>
      <c r="K200" s="31"/>
    </row>
    <row r="201" spans="2:11">
      <c r="B201" s="31"/>
      <c r="C201" s="31"/>
      <c r="D201" s="31"/>
      <c r="E201" s="31"/>
      <c r="F201" s="31"/>
      <c r="G201" s="31"/>
      <c r="I201" s="31"/>
      <c r="J201" s="31"/>
      <c r="K201" s="31"/>
    </row>
    <row r="202" spans="2:11">
      <c r="B202" s="31"/>
      <c r="C202" s="31"/>
      <c r="D202" s="31"/>
      <c r="E202" s="31"/>
      <c r="F202" s="31"/>
      <c r="G202" s="31"/>
      <c r="I202" s="31"/>
      <c r="J202" s="31"/>
      <c r="K202" s="31"/>
    </row>
    <row r="203" spans="2:11">
      <c r="B203" s="31"/>
      <c r="C203" s="31"/>
      <c r="D203" s="31"/>
      <c r="E203" s="31"/>
      <c r="F203" s="31"/>
      <c r="G203" s="31"/>
    </row>
    <row r="204" spans="2:11">
      <c r="B204" s="31"/>
      <c r="C204" s="31"/>
      <c r="D204" s="31"/>
      <c r="E204" s="31"/>
      <c r="F204" s="31"/>
      <c r="G204" s="31"/>
    </row>
    <row r="205" spans="2:11">
      <c r="B205" s="31"/>
      <c r="C205" s="31"/>
      <c r="D205" s="31"/>
      <c r="E205" s="31"/>
      <c r="F205" s="31"/>
      <c r="G205" s="31"/>
    </row>
    <row r="206" spans="2:11">
      <c r="B206" s="31"/>
      <c r="C206" s="31"/>
      <c r="D206" s="31"/>
      <c r="E206" s="31"/>
      <c r="F206" s="31"/>
      <c r="G206" s="31"/>
    </row>
    <row r="207" spans="2:11">
      <c r="B207" s="31"/>
      <c r="C207" s="31"/>
      <c r="D207" s="31"/>
      <c r="E207" s="31"/>
      <c r="F207" s="31"/>
      <c r="G207" s="31"/>
    </row>
    <row r="208" spans="2:11">
      <c r="B208" s="31"/>
      <c r="C208" s="31"/>
      <c r="D208" s="31"/>
      <c r="E208" s="31"/>
      <c r="F208" s="31"/>
      <c r="G208" s="31"/>
    </row>
    <row r="209" spans="2:7">
      <c r="B209" s="31"/>
      <c r="C209" s="31"/>
      <c r="D209" s="31"/>
      <c r="E209" s="31"/>
      <c r="F209" s="31"/>
      <c r="G209" s="31"/>
    </row>
    <row r="210" spans="2:7">
      <c r="B210" s="31"/>
      <c r="C210" s="31"/>
      <c r="D210" s="31"/>
      <c r="E210" s="31"/>
      <c r="F210" s="31"/>
      <c r="G210" s="31"/>
    </row>
  </sheetData>
  <mergeCells count="10">
    <mergeCell ref="B2:G2"/>
    <mergeCell ref="I2:K2"/>
    <mergeCell ref="D10:E10"/>
    <mergeCell ref="C14:F14"/>
    <mergeCell ref="I15:M16"/>
    <mergeCell ref="I17:M17"/>
    <mergeCell ref="I18:M18"/>
    <mergeCell ref="I19:M19"/>
    <mergeCell ref="I20:M20"/>
    <mergeCell ref="C16:D16"/>
  </mergeCells>
  <conditionalFormatting sqref="C12">
    <cfRule type="cellIs" dxfId="9" priority="1" operator="equal">
      <formula>5</formula>
    </cfRule>
    <cfRule type="cellIs" dxfId="8" priority="2" operator="equal">
      <formula>4</formula>
    </cfRule>
    <cfRule type="cellIs" dxfId="7" priority="3" operator="equal">
      <formula>3</formula>
    </cfRule>
    <cfRule type="cellIs" dxfId="6" priority="4" operator="equal">
      <formula>2</formula>
    </cfRule>
    <cfRule type="cellIs" dxfId="5" priority="5" operator="equal">
      <formula>1</formula>
    </cfRule>
  </conditionalFormatting>
  <dataValidations count="1">
    <dataValidation type="list" allowBlank="1" showInputMessage="1" showErrorMessage="1" sqref="C16:D16" xr:uid="{00000000-0002-0000-0000-000000000000}">
      <formula1>SHOES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7030A0"/>
  </sheetPr>
  <dimension ref="B1:I34"/>
  <sheetViews>
    <sheetView zoomScale="60" zoomScaleNormal="60" workbookViewId="0" xr3:uid="{958C4451-9541-5A59-BF78-D2F731DF1C81}">
      <selection activeCell="B2" sqref="B2:I2"/>
    </sheetView>
  </sheetViews>
  <sheetFormatPr defaultRowHeight="15"/>
  <cols>
    <col min="2" max="9" width="19.28515625" customWidth="1"/>
  </cols>
  <sheetData>
    <row r="1" spans="2:9" ht="15.75" thickBot="1"/>
    <row r="2" spans="2:9" ht="36">
      <c r="B2" s="148" t="str">
        <f>IF(Setup!B3="","My Running Log", Setup!B3&amp;"'s Running Log")</f>
        <v>Nicolas's Running Log</v>
      </c>
      <c r="C2" s="149"/>
      <c r="D2" s="149"/>
      <c r="E2" s="149"/>
      <c r="F2" s="149"/>
      <c r="G2" s="149"/>
      <c r="H2" s="149"/>
      <c r="I2" s="150"/>
    </row>
    <row r="3" spans="2:9" ht="23.25">
      <c r="B3" s="80"/>
      <c r="C3" s="33"/>
      <c r="D3" s="34" t="s">
        <v>24</v>
      </c>
      <c r="E3" s="151" t="s">
        <v>25</v>
      </c>
      <c r="F3" s="152"/>
      <c r="G3" s="35" t="s">
        <v>26</v>
      </c>
      <c r="H3" s="33"/>
      <c r="I3" s="81"/>
    </row>
    <row r="4" spans="2:9" ht="18.75" customHeight="1">
      <c r="B4" s="82" t="s">
        <v>27</v>
      </c>
      <c r="C4" s="47" t="s">
        <v>28</v>
      </c>
      <c r="D4" s="47" t="s">
        <v>29</v>
      </c>
      <c r="E4" s="47" t="s">
        <v>30</v>
      </c>
      <c r="F4" s="47" t="s">
        <v>31</v>
      </c>
      <c r="G4" s="47" t="s">
        <v>32</v>
      </c>
      <c r="H4" s="47" t="s">
        <v>33</v>
      </c>
      <c r="I4" s="83" t="s">
        <v>34</v>
      </c>
    </row>
    <row r="5" spans="2:9" ht="18.75" customHeight="1">
      <c r="B5" s="84"/>
      <c r="C5" s="62"/>
      <c r="D5" s="42"/>
      <c r="E5" s="41"/>
      <c r="F5" s="62"/>
      <c r="G5" s="36">
        <v>1</v>
      </c>
      <c r="H5" s="55">
        <v>2</v>
      </c>
      <c r="I5" s="85" t="s">
        <v>35</v>
      </c>
    </row>
    <row r="6" spans="2:9" ht="18.75" customHeight="1">
      <c r="B6" s="86"/>
      <c r="C6" s="42"/>
      <c r="D6" s="42"/>
      <c r="E6" s="39"/>
      <c r="F6" s="42"/>
      <c r="G6" s="58" t="s">
        <v>36</v>
      </c>
      <c r="H6" s="56">
        <f>L5</f>
        <v>0</v>
      </c>
      <c r="I6" s="85" t="s">
        <v>37</v>
      </c>
    </row>
    <row r="7" spans="2:9" ht="18.75" customHeight="1">
      <c r="B7" s="86"/>
      <c r="C7" s="42"/>
      <c r="D7" s="42"/>
      <c r="E7" s="39"/>
      <c r="F7" s="42"/>
      <c r="G7" s="58" t="s">
        <v>38</v>
      </c>
      <c r="H7" s="57">
        <f>M5</f>
        <v>0</v>
      </c>
      <c r="I7" s="85" t="s">
        <v>39</v>
      </c>
    </row>
    <row r="8" spans="2:9" ht="18.75" customHeight="1">
      <c r="B8" s="86"/>
      <c r="C8" s="42"/>
      <c r="D8" s="42"/>
      <c r="E8" s="39"/>
      <c r="F8" s="42"/>
      <c r="G8" s="59" t="s">
        <v>40</v>
      </c>
      <c r="H8" s="50" t="e">
        <f>H7/H6</f>
        <v>#DIV/0!</v>
      </c>
      <c r="I8" s="87"/>
    </row>
    <row r="9" spans="2:9" ht="18.75" customHeight="1">
      <c r="B9" s="86"/>
      <c r="C9" s="53"/>
      <c r="D9" s="42"/>
      <c r="E9" s="40"/>
      <c r="F9" s="53"/>
      <c r="G9" s="49"/>
      <c r="H9" s="51"/>
      <c r="I9" s="87"/>
    </row>
    <row r="10" spans="2:9" ht="18.75" customHeight="1">
      <c r="B10" s="88">
        <v>3</v>
      </c>
      <c r="C10" s="76">
        <v>4</v>
      </c>
      <c r="D10" s="75">
        <v>5</v>
      </c>
      <c r="E10" s="67">
        <v>6</v>
      </c>
      <c r="F10" s="63">
        <v>7</v>
      </c>
      <c r="G10" s="52">
        <v>8</v>
      </c>
      <c r="H10" s="52">
        <v>9</v>
      </c>
      <c r="I10" s="87"/>
    </row>
    <row r="11" spans="2:9" ht="18.75" customHeight="1">
      <c r="B11" s="86"/>
      <c r="C11" s="77" t="str">
        <f>IF(L7&gt;0,ROUND(L7,2) &amp; " miles","-- miles")</f>
        <v>-- miles</v>
      </c>
      <c r="D11" s="43" t="str">
        <f>IF(L8&gt;0,ROUND(L7,2) &amp; " miles","-- miles")</f>
        <v>-- miles</v>
      </c>
      <c r="E11" s="68"/>
      <c r="F11" s="64"/>
      <c r="G11" s="44"/>
      <c r="H11" s="44"/>
      <c r="I11" s="87"/>
    </row>
    <row r="12" spans="2:9" ht="18.75" customHeight="1">
      <c r="B12" s="86"/>
      <c r="C12" s="78"/>
      <c r="D12" s="44"/>
      <c r="E12" s="69"/>
      <c r="F12" s="65"/>
      <c r="G12" s="44"/>
      <c r="H12" s="44"/>
      <c r="I12" s="87"/>
    </row>
    <row r="13" spans="2:9" ht="18.75" customHeight="1">
      <c r="B13" s="86"/>
      <c r="C13" s="78"/>
      <c r="D13" s="44"/>
      <c r="E13" s="69"/>
      <c r="F13" s="65"/>
      <c r="G13" s="44"/>
      <c r="H13" s="44"/>
      <c r="I13" s="87"/>
    </row>
    <row r="14" spans="2:9" ht="18.75" customHeight="1">
      <c r="B14" s="89"/>
      <c r="C14" s="79"/>
      <c r="D14" s="49"/>
      <c r="E14" s="70"/>
      <c r="F14" s="66"/>
      <c r="G14" s="49"/>
      <c r="H14" s="49"/>
      <c r="I14" s="87"/>
    </row>
    <row r="15" spans="2:9" ht="18.75" customHeight="1">
      <c r="B15" s="90">
        <v>10</v>
      </c>
      <c r="C15" s="45">
        <v>11</v>
      </c>
      <c r="D15" s="45">
        <v>12</v>
      </c>
      <c r="E15" s="67">
        <v>13</v>
      </c>
      <c r="F15" s="52">
        <v>14</v>
      </c>
      <c r="G15" s="52">
        <v>15</v>
      </c>
      <c r="H15" s="45">
        <v>16</v>
      </c>
      <c r="I15" s="87"/>
    </row>
    <row r="16" spans="2:9" ht="18.75" customHeight="1">
      <c r="B16" s="91"/>
      <c r="C16" s="46"/>
      <c r="D16" s="46"/>
      <c r="E16" s="71"/>
      <c r="F16" s="60"/>
      <c r="G16" s="60"/>
      <c r="H16" s="46"/>
      <c r="I16" s="87"/>
    </row>
    <row r="17" spans="2:9" ht="18.75" customHeight="1">
      <c r="B17" s="91"/>
      <c r="C17" s="46"/>
      <c r="D17" s="46"/>
      <c r="E17" s="71"/>
      <c r="F17" s="60"/>
      <c r="G17" s="60"/>
      <c r="H17" s="46"/>
      <c r="I17" s="87"/>
    </row>
    <row r="18" spans="2:9" ht="18.75" customHeight="1">
      <c r="B18" s="91"/>
      <c r="C18" s="46"/>
      <c r="D18" s="46"/>
      <c r="E18" s="71"/>
      <c r="F18" s="60"/>
      <c r="G18" s="60"/>
      <c r="H18" s="46"/>
      <c r="I18" s="87"/>
    </row>
    <row r="19" spans="2:9" ht="18.75" customHeight="1">
      <c r="B19" s="92"/>
      <c r="C19" s="48"/>
      <c r="D19" s="48"/>
      <c r="E19" s="72"/>
      <c r="F19" s="61"/>
      <c r="G19" s="61"/>
      <c r="H19" s="48"/>
      <c r="I19" s="87"/>
    </row>
    <row r="20" spans="2:9" ht="18.75" customHeight="1">
      <c r="B20" s="90">
        <v>17</v>
      </c>
      <c r="C20" s="45">
        <v>18</v>
      </c>
      <c r="D20" s="45">
        <v>19</v>
      </c>
      <c r="E20" s="67">
        <v>20</v>
      </c>
      <c r="F20" s="52">
        <v>21</v>
      </c>
      <c r="G20" s="52">
        <v>22</v>
      </c>
      <c r="H20" s="45">
        <v>23</v>
      </c>
      <c r="I20" s="87"/>
    </row>
    <row r="21" spans="2:9" ht="18.75" customHeight="1">
      <c r="B21" s="86"/>
      <c r="C21" s="42"/>
      <c r="D21" s="42"/>
      <c r="E21" s="69"/>
      <c r="F21" s="44"/>
      <c r="G21" s="44"/>
      <c r="H21" s="42"/>
      <c r="I21" s="87"/>
    </row>
    <row r="22" spans="2:9" ht="18.75" customHeight="1">
      <c r="B22" s="86"/>
      <c r="C22" s="42"/>
      <c r="D22" s="42"/>
      <c r="E22" s="69"/>
      <c r="F22" s="44"/>
      <c r="G22" s="44"/>
      <c r="H22" s="42"/>
      <c r="I22" s="87"/>
    </row>
    <row r="23" spans="2:9" ht="18.75" customHeight="1">
      <c r="B23" s="86"/>
      <c r="C23" s="42"/>
      <c r="D23" s="42"/>
      <c r="E23" s="69"/>
      <c r="F23" s="44"/>
      <c r="G23" s="44"/>
      <c r="H23" s="42"/>
      <c r="I23" s="87"/>
    </row>
    <row r="24" spans="2:9" ht="18.75" customHeight="1">
      <c r="B24" s="89"/>
      <c r="C24" s="53"/>
      <c r="D24" s="53"/>
      <c r="E24" s="70"/>
      <c r="F24" s="49"/>
      <c r="G24" s="49"/>
      <c r="H24" s="53"/>
      <c r="I24" s="87"/>
    </row>
    <row r="25" spans="2:9" ht="18.75" customHeight="1">
      <c r="B25" s="90">
        <v>24</v>
      </c>
      <c r="C25" s="45">
        <v>25</v>
      </c>
      <c r="D25" s="45">
        <v>26</v>
      </c>
      <c r="E25" s="73">
        <v>27</v>
      </c>
      <c r="F25" s="45">
        <v>28</v>
      </c>
      <c r="G25" s="45">
        <v>29</v>
      </c>
      <c r="H25" s="45">
        <v>30</v>
      </c>
      <c r="I25" s="87"/>
    </row>
    <row r="26" spans="2:9" ht="18.75" customHeight="1">
      <c r="B26" s="93"/>
      <c r="C26" s="54"/>
      <c r="D26" s="54"/>
      <c r="E26" s="74"/>
      <c r="F26" s="54"/>
      <c r="G26" s="54"/>
      <c r="H26" s="54"/>
      <c r="I26" s="87"/>
    </row>
    <row r="27" spans="2:9" ht="18.75" customHeight="1">
      <c r="B27" s="86"/>
      <c r="C27" s="42"/>
      <c r="D27" s="42"/>
      <c r="E27" s="39"/>
      <c r="F27" s="42"/>
      <c r="G27" s="42"/>
      <c r="H27" s="42"/>
      <c r="I27" s="94"/>
    </row>
    <row r="28" spans="2:9" ht="18.75" customHeight="1">
      <c r="B28" s="86"/>
      <c r="C28" s="42"/>
      <c r="D28" s="42"/>
      <c r="E28" s="39"/>
      <c r="F28" s="42"/>
      <c r="G28" s="42"/>
      <c r="H28" s="42"/>
      <c r="I28" s="81"/>
    </row>
    <row r="29" spans="2:9" ht="18.75" customHeight="1">
      <c r="B29" s="89"/>
      <c r="C29" s="53"/>
      <c r="D29" s="53"/>
      <c r="E29" s="40"/>
      <c r="F29" s="53"/>
      <c r="G29" s="53"/>
      <c r="H29" s="53"/>
      <c r="I29" s="83"/>
    </row>
    <row r="30" spans="2:9">
      <c r="B30" s="80"/>
      <c r="C30" s="33"/>
      <c r="D30" s="33"/>
      <c r="E30" s="33"/>
      <c r="F30" s="33"/>
      <c r="G30" s="33"/>
      <c r="H30" s="33"/>
      <c r="I30" s="81"/>
    </row>
    <row r="31" spans="2:9" ht="15.75">
      <c r="B31" s="95"/>
      <c r="C31" s="153" t="s">
        <v>41</v>
      </c>
      <c r="D31" s="154"/>
      <c r="E31" s="102" t="s">
        <v>42</v>
      </c>
      <c r="F31" s="102" t="s">
        <v>43</v>
      </c>
      <c r="G31" s="157" t="s">
        <v>44</v>
      </c>
      <c r="H31" s="158"/>
      <c r="I31" s="81"/>
    </row>
    <row r="32" spans="2:9" ht="15.75">
      <c r="B32" s="96"/>
      <c r="C32" s="155"/>
      <c r="D32" s="156"/>
      <c r="E32" s="37" t="str">
        <f>IF(SUM(L4:L34)&gt;0,ROUND(SUM(L4:L34),2) &amp; " miles","-- miles")</f>
        <v>-- miles</v>
      </c>
      <c r="F32" s="37"/>
      <c r="G32" s="37"/>
      <c r="H32" s="38"/>
      <c r="I32" s="81"/>
    </row>
    <row r="33" spans="2:9">
      <c r="B33" s="80"/>
      <c r="C33" s="33"/>
      <c r="D33" s="97"/>
      <c r="E33" s="33"/>
      <c r="F33" s="33"/>
      <c r="G33" s="159"/>
      <c r="H33" s="159"/>
      <c r="I33" s="81"/>
    </row>
    <row r="34" spans="2:9" ht="15.75" thickBot="1">
      <c r="B34" s="98"/>
      <c r="C34" s="99"/>
      <c r="D34" s="99"/>
      <c r="E34" s="99"/>
      <c r="F34" s="147"/>
      <c r="G34" s="147"/>
      <c r="H34" s="99"/>
      <c r="I34" s="100"/>
    </row>
  </sheetData>
  <mergeCells count="6">
    <mergeCell ref="F34:G34"/>
    <mergeCell ref="B2:I2"/>
    <mergeCell ref="E3:F3"/>
    <mergeCell ref="C31:D32"/>
    <mergeCell ref="G31:H31"/>
    <mergeCell ref="G33:H33"/>
  </mergeCells>
  <dataValidations disablePrompts="1" count="1">
    <dataValidation allowBlank="1" showInputMessage="1" showErrorMessage="1" promptTitle="Notes:" prompt="From Circle House: Bridgeport, 19th, to TCC, a few laps on the track, through TCC, 12th, through neighborhoods, bridgeport back to house" sqref="H9" xr:uid="{00000000-0002-0000-0100-000000000000}"/>
  </dataValidations>
  <hyperlinks>
    <hyperlink ref="G3" location="October!A1" display="&gt;&gt;" xr:uid="{00000000-0004-0000-0100-000000000000}"/>
    <hyperlink ref="D3" location="August!A1" display="&lt;&lt;" xr:uid="{00000000-0004-0000-0100-000001000000}"/>
  </hyperlink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9" tint="-0.249977111117893"/>
  </sheetPr>
  <dimension ref="A1:B8"/>
  <sheetViews>
    <sheetView workbookViewId="0" xr3:uid="{842E5F09-E766-5B8D-85AF-A39847EA96FD}">
      <selection activeCell="C4" sqref="C4"/>
    </sheetView>
  </sheetViews>
  <sheetFormatPr defaultRowHeight="15"/>
  <cols>
    <col min="1" max="1" width="16.28515625" style="103" customWidth="1"/>
    <col min="2" max="2" width="15.42578125" customWidth="1"/>
  </cols>
  <sheetData>
    <row r="1" spans="1:2" ht="25.5">
      <c r="A1" s="160" t="s">
        <v>45</v>
      </c>
      <c r="B1" s="161"/>
    </row>
    <row r="2" spans="1:2" ht="16.5">
      <c r="A2" s="122" t="s">
        <v>46</v>
      </c>
      <c r="B2" s="123" t="s">
        <v>47</v>
      </c>
    </row>
    <row r="3" spans="1:2" ht="16.5">
      <c r="A3" s="124" t="s">
        <v>48</v>
      </c>
      <c r="B3" s="121">
        <f>IF(A3="","",SUMIF(Database!G:G,Shoes!A3,Database!B:B))</f>
        <v>4.5</v>
      </c>
    </row>
    <row r="4" spans="1:2" ht="16.5">
      <c r="A4" s="124" t="s">
        <v>19</v>
      </c>
      <c r="B4" s="121">
        <f>IF(A4="","",SUMIF(Database!G:G,Shoes!A4,Database!B:B))</f>
        <v>7.1</v>
      </c>
    </row>
    <row r="5" spans="1:2" ht="16.5">
      <c r="A5" s="124"/>
      <c r="B5" s="121" t="str">
        <f>IF(A5="","",SUMIF(Database!G:G,Shoes!A5,Database!B:B))</f>
        <v/>
      </c>
    </row>
    <row r="6" spans="1:2" ht="16.5">
      <c r="A6" s="124"/>
      <c r="B6" s="121" t="str">
        <f>IF(A6="","",SUMIF(Database!G:G,Shoes!A6,Database!B:B))</f>
        <v/>
      </c>
    </row>
    <row r="7" spans="1:2" ht="16.5">
      <c r="A7" s="124"/>
      <c r="B7" s="121" t="str">
        <f>IF(A7="","",SUMIF(Database!G:G,Shoes!A7,Database!B:B))</f>
        <v/>
      </c>
    </row>
    <row r="8" spans="1:2" ht="17.25" thickBot="1">
      <c r="A8" s="125"/>
      <c r="B8" s="126" t="str">
        <f>IF(A8="","",SUMIF(Database!G:G,Shoes!A8,Database!B:B))</f>
        <v/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00000"/>
  </sheetPr>
  <dimension ref="A1:AF5"/>
  <sheetViews>
    <sheetView tabSelected="1" workbookViewId="0" xr3:uid="{51F8DEE0-4D01-5F28-A812-FC0BD7CAC4A5}">
      <pane ySplit="1" topLeftCell="A2" activePane="bottomLeft" state="frozen"/>
      <selection pane="bottomLeft" activeCell="H8" sqref="H8"/>
    </sheetView>
  </sheetViews>
  <sheetFormatPr defaultColWidth="10" defaultRowHeight="16.5"/>
  <cols>
    <col min="1" max="1" width="33.140625" style="107" customWidth="1"/>
    <col min="2" max="2" width="9.85546875" style="109" bestFit="1" customWidth="1"/>
    <col min="3" max="4" width="9.42578125" style="109" bestFit="1" customWidth="1"/>
    <col min="5" max="5" width="17.5703125" style="108" bestFit="1" customWidth="1"/>
    <col min="6" max="6" width="5.28515625" style="109" bestFit="1" customWidth="1"/>
    <col min="7" max="7" width="16.42578125" style="109" customWidth="1"/>
    <col min="8" max="8" width="83.42578125" style="1" customWidth="1"/>
    <col min="9" max="32" width="10" style="31"/>
    <col min="33" max="16384" width="10" style="1"/>
  </cols>
  <sheetData>
    <row r="1" spans="1:8" ht="33">
      <c r="A1" s="105" t="s">
        <v>49</v>
      </c>
      <c r="B1" s="110" t="s">
        <v>50</v>
      </c>
      <c r="C1" s="111" t="s">
        <v>51</v>
      </c>
      <c r="D1" s="113" t="s">
        <v>52</v>
      </c>
      <c r="E1" s="112" t="s">
        <v>53</v>
      </c>
      <c r="F1" s="106" t="s">
        <v>54</v>
      </c>
      <c r="G1" s="106" t="s">
        <v>55</v>
      </c>
      <c r="H1" s="111" t="s">
        <v>56</v>
      </c>
    </row>
    <row r="2" spans="1:8">
      <c r="A2" s="107">
        <v>43466</v>
      </c>
      <c r="B2" s="109">
        <v>2</v>
      </c>
      <c r="C2" s="109">
        <v>12</v>
      </c>
      <c r="D2" s="109">
        <v>20</v>
      </c>
      <c r="E2" s="108">
        <v>0.25694444444444448</v>
      </c>
      <c r="F2" s="109">
        <v>2</v>
      </c>
      <c r="G2" s="109" t="s">
        <v>48</v>
      </c>
      <c r="H2" s="1" t="s">
        <v>57</v>
      </c>
    </row>
    <row r="3" spans="1:8">
      <c r="A3" s="107">
        <v>43468</v>
      </c>
      <c r="B3" s="109">
        <v>2.5</v>
      </c>
      <c r="C3" s="109">
        <v>16</v>
      </c>
      <c r="D3" s="109">
        <v>20</v>
      </c>
      <c r="E3" s="108">
        <v>0.2722222222222222</v>
      </c>
      <c r="F3" s="109">
        <v>4</v>
      </c>
      <c r="G3" s="109" t="s">
        <v>48</v>
      </c>
      <c r="H3" s="1" t="s">
        <v>58</v>
      </c>
    </row>
    <row r="4" spans="1:8">
      <c r="A4" s="107">
        <v>43469</v>
      </c>
      <c r="B4" s="109">
        <v>3.3</v>
      </c>
      <c r="C4" s="109">
        <v>21</v>
      </c>
      <c r="D4" s="109">
        <v>15</v>
      </c>
      <c r="E4" s="108">
        <v>0.26830808080808083</v>
      </c>
      <c r="F4" s="109">
        <v>3</v>
      </c>
      <c r="G4" s="109" t="s">
        <v>19</v>
      </c>
      <c r="H4" s="1" t="s">
        <v>59</v>
      </c>
    </row>
    <row r="5" spans="1:8">
      <c r="A5" s="107">
        <v>43472</v>
      </c>
      <c r="B5" s="109">
        <v>3.8</v>
      </c>
      <c r="C5" s="109">
        <v>26</v>
      </c>
      <c r="D5" s="109">
        <v>3</v>
      </c>
      <c r="E5" s="108">
        <v>0.28563596491228072</v>
      </c>
      <c r="F5" s="109">
        <v>4</v>
      </c>
      <c r="G5" s="109" t="s">
        <v>19</v>
      </c>
      <c r="H5" s="1" t="s">
        <v>60</v>
      </c>
    </row>
  </sheetData>
  <conditionalFormatting sqref="F1:G1048576">
    <cfRule type="cellIs" dxfId="4" priority="1" operator="equal">
      <formula>5</formula>
    </cfRule>
    <cfRule type="cellIs" dxfId="3" priority="3" operator="equal">
      <formula>4</formula>
    </cfRule>
    <cfRule type="cellIs" dxfId="2" priority="4" operator="equal">
      <formula>3</formula>
    </cfRule>
    <cfRule type="cellIs" dxfId="1" priority="5" operator="equal">
      <formula>2</formula>
    </cfRule>
    <cfRule type="cellIs" dxfId="0" priority="6" operator="equal">
      <formula>1</formula>
    </cfRule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</sheetPr>
  <dimension ref="A1:AJ270"/>
  <sheetViews>
    <sheetView workbookViewId="0" xr3:uid="{F9CF3CF3-643B-5BE6-8B46-32C596A47465}">
      <selection activeCell="E18" sqref="E18"/>
    </sheetView>
  </sheetViews>
  <sheetFormatPr defaultRowHeight="15"/>
  <cols>
    <col min="1" max="1" width="13.5703125" customWidth="1"/>
    <col min="2" max="2" width="15" customWidth="1"/>
    <col min="3" max="36" width="9.140625" style="104"/>
  </cols>
  <sheetData>
    <row r="1" spans="1:2" ht="25.5">
      <c r="A1" s="162" t="s">
        <v>61</v>
      </c>
      <c r="B1" s="163"/>
    </row>
    <row r="2" spans="1:2" ht="16.5">
      <c r="A2" s="115"/>
      <c r="B2" s="116"/>
    </row>
    <row r="3" spans="1:2" ht="16.5">
      <c r="A3" s="117" t="s">
        <v>62</v>
      </c>
      <c r="B3" s="118" t="s">
        <v>63</v>
      </c>
    </row>
    <row r="4" spans="1:2" ht="16.5">
      <c r="A4" s="115"/>
      <c r="B4" s="116"/>
    </row>
    <row r="5" spans="1:2" ht="16.5">
      <c r="A5" s="115"/>
      <c r="B5" s="116"/>
    </row>
    <row r="6" spans="1:2" ht="17.25" thickBot="1">
      <c r="A6" s="119"/>
      <c r="B6" s="120"/>
    </row>
    <row r="7" spans="1:2">
      <c r="A7" s="104"/>
      <c r="B7" s="104"/>
    </row>
    <row r="8" spans="1:2">
      <c r="A8" s="104"/>
      <c r="B8" s="104"/>
    </row>
    <row r="9" spans="1:2">
      <c r="A9" s="104"/>
      <c r="B9" s="104"/>
    </row>
    <row r="10" spans="1:2">
      <c r="A10" s="104"/>
      <c r="B10" s="104"/>
    </row>
    <row r="11" spans="1:2">
      <c r="A11" s="104"/>
      <c r="B11" s="104"/>
    </row>
    <row r="12" spans="1:2">
      <c r="A12" s="104"/>
      <c r="B12" s="104"/>
    </row>
    <row r="13" spans="1:2">
      <c r="A13" s="104"/>
      <c r="B13" s="104"/>
    </row>
    <row r="14" spans="1:2">
      <c r="A14" s="104"/>
      <c r="B14" s="104"/>
    </row>
    <row r="15" spans="1:2">
      <c r="A15" s="104"/>
      <c r="B15" s="104"/>
    </row>
    <row r="16" spans="1:2">
      <c r="A16" s="104"/>
      <c r="B16" s="104"/>
    </row>
    <row r="17" spans="1:2">
      <c r="A17" s="104"/>
      <c r="B17" s="104"/>
    </row>
    <row r="18" spans="1:2">
      <c r="A18" s="104"/>
      <c r="B18" s="104"/>
    </row>
    <row r="19" spans="1:2">
      <c r="A19" s="104"/>
      <c r="B19" s="104"/>
    </row>
    <row r="20" spans="1:2">
      <c r="A20" s="104"/>
      <c r="B20" s="104"/>
    </row>
    <row r="21" spans="1:2">
      <c r="A21" s="104"/>
      <c r="B21" s="104"/>
    </row>
    <row r="22" spans="1:2">
      <c r="A22" s="104"/>
      <c r="B22" s="104"/>
    </row>
    <row r="23" spans="1:2">
      <c r="A23" s="104"/>
      <c r="B23" s="104"/>
    </row>
    <row r="24" spans="1:2">
      <c r="A24" s="104"/>
      <c r="B24" s="104"/>
    </row>
    <row r="25" spans="1:2">
      <c r="A25" s="104"/>
      <c r="B25" s="104"/>
    </row>
    <row r="26" spans="1:2">
      <c r="A26" s="104"/>
      <c r="B26" s="104"/>
    </row>
    <row r="27" spans="1:2">
      <c r="A27" s="104"/>
      <c r="B27" s="104"/>
    </row>
    <row r="28" spans="1:2">
      <c r="A28" s="104"/>
      <c r="B28" s="104"/>
    </row>
    <row r="29" spans="1:2">
      <c r="A29" s="104"/>
      <c r="B29" s="104"/>
    </row>
    <row r="30" spans="1:2">
      <c r="A30" s="104"/>
      <c r="B30" s="104"/>
    </row>
    <row r="31" spans="1:2">
      <c r="A31" s="104"/>
      <c r="B31" s="104"/>
    </row>
    <row r="32" spans="1:2">
      <c r="A32" s="104"/>
      <c r="B32" s="104"/>
    </row>
    <row r="33" spans="1:2">
      <c r="A33" s="104"/>
      <c r="B33" s="104"/>
    </row>
    <row r="34" spans="1:2">
      <c r="A34" s="104"/>
      <c r="B34" s="104"/>
    </row>
    <row r="35" spans="1:2">
      <c r="A35" s="104"/>
      <c r="B35" s="104"/>
    </row>
    <row r="36" spans="1:2">
      <c r="A36" s="104"/>
      <c r="B36" s="104"/>
    </row>
    <row r="37" spans="1:2">
      <c r="A37" s="104"/>
      <c r="B37" s="104"/>
    </row>
    <row r="38" spans="1:2">
      <c r="A38" s="104"/>
      <c r="B38" s="104"/>
    </row>
    <row r="39" spans="1:2">
      <c r="A39" s="104"/>
      <c r="B39" s="104"/>
    </row>
    <row r="40" spans="1:2">
      <c r="A40" s="104"/>
      <c r="B40" s="104"/>
    </row>
    <row r="41" spans="1:2">
      <c r="A41" s="104"/>
      <c r="B41" s="104"/>
    </row>
    <row r="42" spans="1:2">
      <c r="A42" s="104"/>
      <c r="B42" s="104"/>
    </row>
    <row r="43" spans="1:2">
      <c r="A43" s="104"/>
      <c r="B43" s="104"/>
    </row>
    <row r="44" spans="1:2">
      <c r="A44" s="104"/>
      <c r="B44" s="104"/>
    </row>
    <row r="45" spans="1:2">
      <c r="A45" s="104"/>
      <c r="B45" s="104"/>
    </row>
    <row r="46" spans="1:2">
      <c r="A46" s="104"/>
      <c r="B46" s="104"/>
    </row>
    <row r="47" spans="1:2">
      <c r="A47" s="104"/>
      <c r="B47" s="104"/>
    </row>
    <row r="48" spans="1:2">
      <c r="A48" s="104"/>
      <c r="B48" s="104"/>
    </row>
    <row r="49" spans="1:2">
      <c r="A49" s="104"/>
      <c r="B49" s="104"/>
    </row>
    <row r="50" spans="1:2">
      <c r="A50" s="104"/>
      <c r="B50" s="104"/>
    </row>
    <row r="51" spans="1:2">
      <c r="A51" s="104"/>
      <c r="B51" s="104"/>
    </row>
    <row r="52" spans="1:2">
      <c r="A52" s="104"/>
      <c r="B52" s="104"/>
    </row>
    <row r="53" spans="1:2">
      <c r="A53" s="104"/>
      <c r="B53" s="104"/>
    </row>
    <row r="54" spans="1:2">
      <c r="A54" s="104"/>
      <c r="B54" s="104"/>
    </row>
    <row r="55" spans="1:2">
      <c r="A55" s="104"/>
      <c r="B55" s="104"/>
    </row>
    <row r="56" spans="1:2">
      <c r="A56" s="104"/>
      <c r="B56" s="104"/>
    </row>
    <row r="57" spans="1:2">
      <c r="A57" s="104"/>
      <c r="B57" s="104"/>
    </row>
    <row r="58" spans="1:2">
      <c r="A58" s="104"/>
      <c r="B58" s="104"/>
    </row>
    <row r="59" spans="1:2">
      <c r="A59" s="104"/>
      <c r="B59" s="104"/>
    </row>
    <row r="60" spans="1:2">
      <c r="A60" s="104"/>
      <c r="B60" s="104"/>
    </row>
    <row r="61" spans="1:2">
      <c r="A61" s="104"/>
      <c r="B61" s="104"/>
    </row>
    <row r="62" spans="1:2">
      <c r="A62" s="104"/>
      <c r="B62" s="104"/>
    </row>
    <row r="63" spans="1:2">
      <c r="A63" s="104"/>
      <c r="B63" s="104"/>
    </row>
    <row r="64" spans="1:2">
      <c r="A64" s="104"/>
      <c r="B64" s="104"/>
    </row>
    <row r="65" spans="1:2">
      <c r="A65" s="104"/>
      <c r="B65" s="104"/>
    </row>
    <row r="66" spans="1:2">
      <c r="A66" s="104"/>
      <c r="B66" s="104"/>
    </row>
    <row r="67" spans="1:2">
      <c r="A67" s="104"/>
      <c r="B67" s="104"/>
    </row>
    <row r="68" spans="1:2">
      <c r="A68" s="104"/>
      <c r="B68" s="104"/>
    </row>
    <row r="69" spans="1:2">
      <c r="A69" s="104"/>
      <c r="B69" s="104"/>
    </row>
    <row r="70" spans="1:2">
      <c r="A70" s="104"/>
      <c r="B70" s="104"/>
    </row>
    <row r="71" spans="1:2">
      <c r="A71" s="104"/>
      <c r="B71" s="104"/>
    </row>
    <row r="72" spans="1:2">
      <c r="A72" s="104"/>
      <c r="B72" s="104"/>
    </row>
    <row r="73" spans="1:2">
      <c r="A73" s="104"/>
      <c r="B73" s="104"/>
    </row>
    <row r="74" spans="1:2">
      <c r="A74" s="104"/>
      <c r="B74" s="104"/>
    </row>
    <row r="75" spans="1:2">
      <c r="A75" s="104"/>
      <c r="B75" s="104"/>
    </row>
    <row r="76" spans="1:2">
      <c r="A76" s="104"/>
      <c r="B76" s="104"/>
    </row>
    <row r="77" spans="1:2">
      <c r="A77" s="104"/>
      <c r="B77" s="104"/>
    </row>
    <row r="78" spans="1:2">
      <c r="A78" s="104"/>
      <c r="B78" s="104"/>
    </row>
    <row r="79" spans="1:2">
      <c r="A79" s="104"/>
      <c r="B79" s="104"/>
    </row>
    <row r="80" spans="1:2">
      <c r="A80" s="104"/>
      <c r="B80" s="104"/>
    </row>
    <row r="81" spans="1:2">
      <c r="A81" s="104"/>
      <c r="B81" s="104"/>
    </row>
    <row r="82" spans="1:2">
      <c r="A82" s="104"/>
      <c r="B82" s="104"/>
    </row>
    <row r="83" spans="1:2">
      <c r="A83" s="104"/>
      <c r="B83" s="104"/>
    </row>
    <row r="84" spans="1:2">
      <c r="A84" s="104"/>
      <c r="B84" s="104"/>
    </row>
    <row r="85" spans="1:2">
      <c r="A85" s="104"/>
      <c r="B85" s="104"/>
    </row>
    <row r="86" spans="1:2">
      <c r="A86" s="104"/>
      <c r="B86" s="104"/>
    </row>
    <row r="87" spans="1:2">
      <c r="A87" s="104"/>
      <c r="B87" s="104"/>
    </row>
    <row r="88" spans="1:2">
      <c r="A88" s="104"/>
      <c r="B88" s="104"/>
    </row>
    <row r="89" spans="1:2">
      <c r="A89" s="104"/>
      <c r="B89" s="104"/>
    </row>
    <row r="90" spans="1:2">
      <c r="A90" s="104"/>
      <c r="B90" s="104"/>
    </row>
    <row r="91" spans="1:2">
      <c r="A91" s="104"/>
      <c r="B91" s="104"/>
    </row>
    <row r="92" spans="1:2">
      <c r="A92" s="104"/>
      <c r="B92" s="104"/>
    </row>
    <row r="93" spans="1:2">
      <c r="A93" s="104"/>
      <c r="B93" s="104"/>
    </row>
    <row r="94" spans="1:2">
      <c r="A94" s="104"/>
      <c r="B94" s="104"/>
    </row>
    <row r="95" spans="1:2">
      <c r="A95" s="104"/>
      <c r="B95" s="104"/>
    </row>
    <row r="96" spans="1:2">
      <c r="A96" s="104"/>
      <c r="B96" s="104"/>
    </row>
    <row r="97" spans="1:2">
      <c r="A97" s="104"/>
      <c r="B97" s="104"/>
    </row>
    <row r="98" spans="1:2">
      <c r="A98" s="104"/>
      <c r="B98" s="104"/>
    </row>
    <row r="99" spans="1:2">
      <c r="A99" s="104"/>
      <c r="B99" s="104"/>
    </row>
    <row r="100" spans="1:2">
      <c r="A100" s="104"/>
      <c r="B100" s="104"/>
    </row>
    <row r="101" spans="1:2">
      <c r="A101" s="104"/>
      <c r="B101" s="104"/>
    </row>
    <row r="102" spans="1:2">
      <c r="A102" s="104"/>
      <c r="B102" s="104"/>
    </row>
    <row r="103" spans="1:2">
      <c r="A103" s="104"/>
      <c r="B103" s="104"/>
    </row>
    <row r="104" spans="1:2">
      <c r="A104" s="104"/>
      <c r="B104" s="104"/>
    </row>
    <row r="105" spans="1:2">
      <c r="A105" s="104"/>
      <c r="B105" s="104"/>
    </row>
    <row r="106" spans="1:2">
      <c r="A106" s="104"/>
      <c r="B106" s="104"/>
    </row>
    <row r="107" spans="1:2">
      <c r="A107" s="104"/>
      <c r="B107" s="104"/>
    </row>
    <row r="108" spans="1:2">
      <c r="A108" s="104"/>
      <c r="B108" s="104"/>
    </row>
    <row r="109" spans="1:2">
      <c r="A109" s="104"/>
      <c r="B109" s="104"/>
    </row>
    <row r="110" spans="1:2">
      <c r="A110" s="104"/>
      <c r="B110" s="104"/>
    </row>
    <row r="111" spans="1:2">
      <c r="A111" s="104"/>
      <c r="B111" s="104"/>
    </row>
    <row r="112" spans="1:2">
      <c r="A112" s="104"/>
      <c r="B112" s="104"/>
    </row>
    <row r="113" spans="1:2">
      <c r="A113" s="104"/>
      <c r="B113" s="104"/>
    </row>
    <row r="114" spans="1:2">
      <c r="A114" s="104"/>
      <c r="B114" s="104"/>
    </row>
    <row r="115" spans="1:2">
      <c r="A115" s="104"/>
      <c r="B115" s="104"/>
    </row>
    <row r="116" spans="1:2">
      <c r="A116" s="104"/>
      <c r="B116" s="104"/>
    </row>
    <row r="117" spans="1:2">
      <c r="A117" s="104"/>
      <c r="B117" s="104"/>
    </row>
    <row r="118" spans="1:2">
      <c r="A118" s="104"/>
      <c r="B118" s="104"/>
    </row>
    <row r="119" spans="1:2">
      <c r="A119" s="104"/>
      <c r="B119" s="104"/>
    </row>
    <row r="120" spans="1:2">
      <c r="A120" s="104"/>
      <c r="B120" s="104"/>
    </row>
    <row r="121" spans="1:2">
      <c r="A121" s="104"/>
      <c r="B121" s="104"/>
    </row>
    <row r="122" spans="1:2">
      <c r="A122" s="104"/>
      <c r="B122" s="104"/>
    </row>
    <row r="123" spans="1:2">
      <c r="A123" s="104"/>
      <c r="B123" s="104"/>
    </row>
    <row r="124" spans="1:2">
      <c r="A124" s="104"/>
      <c r="B124" s="104"/>
    </row>
    <row r="125" spans="1:2">
      <c r="A125" s="104"/>
      <c r="B125" s="104"/>
    </row>
    <row r="126" spans="1:2">
      <c r="A126" s="104"/>
      <c r="B126" s="104"/>
    </row>
    <row r="127" spans="1:2">
      <c r="A127" s="104"/>
      <c r="B127" s="104"/>
    </row>
    <row r="128" spans="1:2">
      <c r="A128" s="104"/>
      <c r="B128" s="104"/>
    </row>
    <row r="129" spans="1:2">
      <c r="A129" s="104"/>
      <c r="B129" s="104"/>
    </row>
    <row r="130" spans="1:2">
      <c r="A130" s="104"/>
      <c r="B130" s="104"/>
    </row>
    <row r="131" spans="1:2">
      <c r="A131" s="104"/>
      <c r="B131" s="104"/>
    </row>
    <row r="132" spans="1:2">
      <c r="A132" s="104"/>
      <c r="B132" s="104"/>
    </row>
    <row r="133" spans="1:2">
      <c r="A133" s="104"/>
      <c r="B133" s="104"/>
    </row>
    <row r="134" spans="1:2">
      <c r="A134" s="104"/>
      <c r="B134" s="104"/>
    </row>
    <row r="135" spans="1:2">
      <c r="A135" s="104"/>
      <c r="B135" s="104"/>
    </row>
    <row r="136" spans="1:2">
      <c r="A136" s="104"/>
      <c r="B136" s="104"/>
    </row>
    <row r="137" spans="1:2">
      <c r="A137" s="104"/>
      <c r="B137" s="104"/>
    </row>
    <row r="138" spans="1:2">
      <c r="A138" s="104"/>
      <c r="B138" s="104"/>
    </row>
    <row r="139" spans="1:2">
      <c r="A139" s="104"/>
      <c r="B139" s="104"/>
    </row>
    <row r="140" spans="1:2">
      <c r="A140" s="104"/>
      <c r="B140" s="104"/>
    </row>
    <row r="141" spans="1:2">
      <c r="A141" s="104"/>
      <c r="B141" s="104"/>
    </row>
    <row r="142" spans="1:2">
      <c r="A142" s="104"/>
      <c r="B142" s="104"/>
    </row>
    <row r="143" spans="1:2">
      <c r="A143" s="104"/>
      <c r="B143" s="104"/>
    </row>
    <row r="144" spans="1:2">
      <c r="A144" s="104"/>
      <c r="B144" s="104"/>
    </row>
    <row r="145" spans="1:2">
      <c r="A145" s="104"/>
      <c r="B145" s="104"/>
    </row>
    <row r="146" spans="1:2">
      <c r="A146" s="104"/>
      <c r="B146" s="104"/>
    </row>
    <row r="147" spans="1:2">
      <c r="A147" s="104"/>
      <c r="B147" s="104"/>
    </row>
    <row r="148" spans="1:2">
      <c r="A148" s="104"/>
      <c r="B148" s="104"/>
    </row>
    <row r="149" spans="1:2">
      <c r="A149" s="104"/>
      <c r="B149" s="104"/>
    </row>
    <row r="150" spans="1:2">
      <c r="A150" s="104"/>
      <c r="B150" s="104"/>
    </row>
    <row r="151" spans="1:2">
      <c r="A151" s="104"/>
      <c r="B151" s="104"/>
    </row>
    <row r="152" spans="1:2">
      <c r="A152" s="104"/>
      <c r="B152" s="104"/>
    </row>
    <row r="153" spans="1:2">
      <c r="A153" s="104"/>
      <c r="B153" s="104"/>
    </row>
    <row r="154" spans="1:2">
      <c r="A154" s="104"/>
      <c r="B154" s="104"/>
    </row>
    <row r="155" spans="1:2">
      <c r="A155" s="104"/>
      <c r="B155" s="104"/>
    </row>
    <row r="156" spans="1:2">
      <c r="A156" s="104"/>
      <c r="B156" s="104"/>
    </row>
    <row r="157" spans="1:2">
      <c r="A157" s="104"/>
      <c r="B157" s="104"/>
    </row>
    <row r="158" spans="1:2">
      <c r="A158" s="104"/>
      <c r="B158" s="104"/>
    </row>
    <row r="159" spans="1:2">
      <c r="A159" s="104"/>
      <c r="B159" s="104"/>
    </row>
    <row r="160" spans="1:2">
      <c r="A160" s="104"/>
      <c r="B160" s="104"/>
    </row>
    <row r="161" spans="1:2">
      <c r="A161" s="104"/>
      <c r="B161" s="104"/>
    </row>
    <row r="162" spans="1:2">
      <c r="A162" s="104"/>
      <c r="B162" s="104"/>
    </row>
    <row r="163" spans="1:2">
      <c r="A163" s="104"/>
      <c r="B163" s="104"/>
    </row>
    <row r="164" spans="1:2">
      <c r="A164" s="104"/>
      <c r="B164" s="104"/>
    </row>
    <row r="165" spans="1:2">
      <c r="A165" s="104"/>
      <c r="B165" s="104"/>
    </row>
    <row r="166" spans="1:2">
      <c r="A166" s="104"/>
      <c r="B166" s="104"/>
    </row>
    <row r="167" spans="1:2">
      <c r="A167" s="104"/>
      <c r="B167" s="104"/>
    </row>
    <row r="168" spans="1:2">
      <c r="A168" s="104"/>
      <c r="B168" s="104"/>
    </row>
    <row r="169" spans="1:2">
      <c r="A169" s="104"/>
      <c r="B169" s="104"/>
    </row>
    <row r="170" spans="1:2">
      <c r="A170" s="104"/>
      <c r="B170" s="104"/>
    </row>
    <row r="171" spans="1:2">
      <c r="A171" s="104"/>
      <c r="B171" s="104"/>
    </row>
    <row r="172" spans="1:2">
      <c r="A172" s="104"/>
      <c r="B172" s="104"/>
    </row>
    <row r="173" spans="1:2">
      <c r="A173" s="104"/>
      <c r="B173" s="104"/>
    </row>
    <row r="174" spans="1:2">
      <c r="A174" s="104"/>
      <c r="B174" s="104"/>
    </row>
    <row r="175" spans="1:2">
      <c r="A175" s="104"/>
      <c r="B175" s="104"/>
    </row>
    <row r="176" spans="1:2">
      <c r="A176" s="104"/>
      <c r="B176" s="104"/>
    </row>
    <row r="177" spans="1:2">
      <c r="A177" s="104"/>
      <c r="B177" s="104"/>
    </row>
    <row r="178" spans="1:2">
      <c r="A178" s="104"/>
      <c r="B178" s="104"/>
    </row>
    <row r="179" spans="1:2">
      <c r="A179" s="104"/>
      <c r="B179" s="104"/>
    </row>
    <row r="180" spans="1:2">
      <c r="A180" s="104"/>
      <c r="B180" s="104"/>
    </row>
    <row r="181" spans="1:2">
      <c r="A181" s="104"/>
      <c r="B181" s="104"/>
    </row>
    <row r="182" spans="1:2">
      <c r="A182" s="104"/>
      <c r="B182" s="104"/>
    </row>
    <row r="183" spans="1:2">
      <c r="A183" s="104"/>
      <c r="B183" s="104"/>
    </row>
    <row r="184" spans="1:2">
      <c r="A184" s="104"/>
      <c r="B184" s="104"/>
    </row>
    <row r="185" spans="1:2">
      <c r="A185" s="104"/>
      <c r="B185" s="104"/>
    </row>
    <row r="186" spans="1:2">
      <c r="A186" s="104"/>
      <c r="B186" s="104"/>
    </row>
    <row r="187" spans="1:2">
      <c r="A187" s="104"/>
      <c r="B187" s="104"/>
    </row>
    <row r="188" spans="1:2">
      <c r="A188" s="104"/>
      <c r="B188" s="104"/>
    </row>
    <row r="189" spans="1:2">
      <c r="A189" s="104"/>
      <c r="B189" s="104"/>
    </row>
    <row r="190" spans="1:2">
      <c r="A190" s="104"/>
      <c r="B190" s="104"/>
    </row>
    <row r="191" spans="1:2">
      <c r="A191" s="104"/>
      <c r="B191" s="104"/>
    </row>
    <row r="192" spans="1:2">
      <c r="A192" s="104"/>
      <c r="B192" s="104"/>
    </row>
    <row r="193" spans="1:2">
      <c r="A193" s="104"/>
      <c r="B193" s="104"/>
    </row>
    <row r="194" spans="1:2">
      <c r="A194" s="104"/>
      <c r="B194" s="104"/>
    </row>
    <row r="195" spans="1:2">
      <c r="A195" s="104"/>
      <c r="B195" s="104"/>
    </row>
    <row r="196" spans="1:2">
      <c r="A196" s="104"/>
      <c r="B196" s="104"/>
    </row>
    <row r="197" spans="1:2">
      <c r="A197" s="104"/>
      <c r="B197" s="104"/>
    </row>
    <row r="198" spans="1:2">
      <c r="A198" s="104"/>
      <c r="B198" s="104"/>
    </row>
    <row r="199" spans="1:2">
      <c r="A199" s="104"/>
      <c r="B199" s="104"/>
    </row>
    <row r="200" spans="1:2">
      <c r="A200" s="104"/>
      <c r="B200" s="104"/>
    </row>
    <row r="201" spans="1:2">
      <c r="A201" s="104"/>
      <c r="B201" s="104"/>
    </row>
    <row r="202" spans="1:2">
      <c r="A202" s="104"/>
      <c r="B202" s="104"/>
    </row>
    <row r="203" spans="1:2">
      <c r="A203" s="104"/>
      <c r="B203" s="104"/>
    </row>
    <row r="204" spans="1:2">
      <c r="A204" s="104"/>
      <c r="B204" s="104"/>
    </row>
    <row r="205" spans="1:2">
      <c r="A205" s="104"/>
      <c r="B205" s="104"/>
    </row>
    <row r="206" spans="1:2">
      <c r="A206" s="104"/>
      <c r="B206" s="104"/>
    </row>
    <row r="207" spans="1:2">
      <c r="A207" s="104"/>
      <c r="B207" s="104"/>
    </row>
    <row r="208" spans="1:2">
      <c r="A208" s="104"/>
      <c r="B208" s="104"/>
    </row>
    <row r="209" spans="1:2">
      <c r="A209" s="104"/>
      <c r="B209" s="104"/>
    </row>
    <row r="210" spans="1:2">
      <c r="A210" s="104"/>
      <c r="B210" s="104"/>
    </row>
    <row r="211" spans="1:2">
      <c r="A211" s="104"/>
      <c r="B211" s="104"/>
    </row>
    <row r="212" spans="1:2">
      <c r="A212" s="104"/>
      <c r="B212" s="104"/>
    </row>
    <row r="213" spans="1:2">
      <c r="A213" s="104"/>
      <c r="B213" s="104"/>
    </row>
    <row r="214" spans="1:2">
      <c r="A214" s="104"/>
      <c r="B214" s="104"/>
    </row>
    <row r="215" spans="1:2">
      <c r="A215" s="104"/>
      <c r="B215" s="104"/>
    </row>
    <row r="216" spans="1:2">
      <c r="A216" s="104"/>
      <c r="B216" s="104"/>
    </row>
    <row r="217" spans="1:2">
      <c r="A217" s="104"/>
      <c r="B217" s="104"/>
    </row>
    <row r="218" spans="1:2">
      <c r="A218" s="104"/>
      <c r="B218" s="104"/>
    </row>
    <row r="219" spans="1:2">
      <c r="A219" s="104"/>
      <c r="B219" s="104"/>
    </row>
    <row r="220" spans="1:2">
      <c r="A220" s="104"/>
      <c r="B220" s="104"/>
    </row>
    <row r="221" spans="1:2">
      <c r="A221" s="104"/>
      <c r="B221" s="104"/>
    </row>
    <row r="222" spans="1:2">
      <c r="A222" s="104"/>
      <c r="B222" s="104"/>
    </row>
    <row r="223" spans="1:2">
      <c r="A223" s="104"/>
      <c r="B223" s="104"/>
    </row>
    <row r="224" spans="1:2">
      <c r="A224" s="104"/>
      <c r="B224" s="104"/>
    </row>
    <row r="225" spans="1:2">
      <c r="A225" s="104"/>
      <c r="B225" s="104"/>
    </row>
    <row r="226" spans="1:2">
      <c r="A226" s="104"/>
      <c r="B226" s="104"/>
    </row>
    <row r="227" spans="1:2">
      <c r="A227" s="104"/>
      <c r="B227" s="104"/>
    </row>
    <row r="228" spans="1:2">
      <c r="A228" s="104"/>
      <c r="B228" s="104"/>
    </row>
    <row r="229" spans="1:2">
      <c r="A229" s="104"/>
      <c r="B229" s="104"/>
    </row>
    <row r="230" spans="1:2">
      <c r="A230" s="104"/>
      <c r="B230" s="104"/>
    </row>
    <row r="231" spans="1:2">
      <c r="A231" s="104"/>
      <c r="B231" s="104"/>
    </row>
    <row r="232" spans="1:2">
      <c r="A232" s="104"/>
      <c r="B232" s="104"/>
    </row>
    <row r="233" spans="1:2">
      <c r="A233" s="104"/>
      <c r="B233" s="104"/>
    </row>
    <row r="234" spans="1:2">
      <c r="A234" s="104"/>
      <c r="B234" s="104"/>
    </row>
    <row r="235" spans="1:2">
      <c r="A235" s="104"/>
      <c r="B235" s="104"/>
    </row>
    <row r="236" spans="1:2">
      <c r="A236" s="104"/>
      <c r="B236" s="104"/>
    </row>
    <row r="237" spans="1:2">
      <c r="A237" s="104"/>
      <c r="B237" s="104"/>
    </row>
    <row r="238" spans="1:2">
      <c r="A238" s="104"/>
      <c r="B238" s="104"/>
    </row>
    <row r="239" spans="1:2">
      <c r="A239" s="104"/>
      <c r="B239" s="104"/>
    </row>
    <row r="240" spans="1:2">
      <c r="A240" s="104"/>
      <c r="B240" s="104"/>
    </row>
    <row r="241" spans="1:2">
      <c r="A241" s="104"/>
      <c r="B241" s="104"/>
    </row>
    <row r="242" spans="1:2">
      <c r="A242" s="104"/>
      <c r="B242" s="104"/>
    </row>
    <row r="243" spans="1:2">
      <c r="A243" s="104"/>
      <c r="B243" s="104"/>
    </row>
    <row r="244" spans="1:2">
      <c r="A244" s="104"/>
      <c r="B244" s="104"/>
    </row>
    <row r="245" spans="1:2">
      <c r="A245" s="104"/>
      <c r="B245" s="104"/>
    </row>
    <row r="246" spans="1:2">
      <c r="A246" s="104"/>
      <c r="B246" s="104"/>
    </row>
    <row r="247" spans="1:2">
      <c r="A247" s="104"/>
      <c r="B247" s="104"/>
    </row>
    <row r="248" spans="1:2">
      <c r="A248" s="104"/>
      <c r="B248" s="104"/>
    </row>
    <row r="249" spans="1:2">
      <c r="A249" s="104"/>
      <c r="B249" s="104"/>
    </row>
    <row r="250" spans="1:2">
      <c r="A250" s="104"/>
      <c r="B250" s="104"/>
    </row>
    <row r="251" spans="1:2">
      <c r="A251" s="104"/>
      <c r="B251" s="104"/>
    </row>
    <row r="252" spans="1:2">
      <c r="A252" s="104"/>
      <c r="B252" s="104"/>
    </row>
    <row r="253" spans="1:2">
      <c r="A253" s="104"/>
      <c r="B253" s="104"/>
    </row>
    <row r="254" spans="1:2">
      <c r="A254" s="104"/>
      <c r="B254" s="104"/>
    </row>
    <row r="255" spans="1:2">
      <c r="A255" s="104"/>
      <c r="B255" s="104"/>
    </row>
    <row r="256" spans="1:2">
      <c r="A256" s="104"/>
      <c r="B256" s="104"/>
    </row>
    <row r="257" spans="1:2">
      <c r="A257" s="104"/>
      <c r="B257" s="104"/>
    </row>
    <row r="258" spans="1:2">
      <c r="A258" s="104"/>
      <c r="B258" s="104"/>
    </row>
    <row r="259" spans="1:2">
      <c r="A259" s="104"/>
      <c r="B259" s="104"/>
    </row>
    <row r="260" spans="1:2">
      <c r="A260" s="104"/>
      <c r="B260" s="104"/>
    </row>
    <row r="261" spans="1:2">
      <c r="A261" s="104"/>
      <c r="B261" s="104"/>
    </row>
    <row r="262" spans="1:2">
      <c r="A262" s="104"/>
      <c r="B262" s="104"/>
    </row>
    <row r="263" spans="1:2">
      <c r="A263" s="104"/>
      <c r="B263" s="104"/>
    </row>
    <row r="264" spans="1:2">
      <c r="A264" s="104"/>
      <c r="B264" s="104"/>
    </row>
    <row r="265" spans="1:2">
      <c r="A265" s="104"/>
      <c r="B265" s="104"/>
    </row>
    <row r="266" spans="1:2">
      <c r="A266" s="104"/>
      <c r="B266" s="104"/>
    </row>
    <row r="267" spans="1:2">
      <c r="A267" s="104"/>
      <c r="B267" s="104"/>
    </row>
    <row r="268" spans="1:2">
      <c r="A268" s="104"/>
      <c r="B268" s="104"/>
    </row>
    <row r="269" spans="1:2">
      <c r="A269" s="104"/>
      <c r="B269" s="104"/>
    </row>
    <row r="270" spans="1:2">
      <c r="A270" s="104"/>
      <c r="B270" s="104"/>
    </row>
  </sheetData>
  <mergeCells count="1">
    <mergeCell ref="A1:B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HP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Basil</dc:creator>
  <cp:keywords/>
  <dc:description/>
  <cp:lastModifiedBy>Nicolas Basil</cp:lastModifiedBy>
  <cp:revision/>
  <dcterms:created xsi:type="dcterms:W3CDTF">2019-04-03T23:13:54Z</dcterms:created>
  <dcterms:modified xsi:type="dcterms:W3CDTF">2019-04-08T06:12:13Z</dcterms:modified>
  <cp:category/>
  <cp:contentStatus/>
</cp:coreProperties>
</file>